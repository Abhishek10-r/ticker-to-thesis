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Historicals" sheetId="3" state="visible" r:id="rId5"/>
    <sheet name="WACC" sheetId="4" state="visible" r:id="rId6"/>
    <sheet name="DCF" sheetId="5" state="visible" r:id="rId7"/>
    <sheet name="Sensitivity" sheetId="6" state="visible" r:id="rId8"/>
    <sheet name="Comps" sheetId="7" state="visible" r:id="rId9"/>
    <sheet name="Valuation" sheetId="8" state="visible" r:id="rId10"/>
    <sheet name="Benchmark" sheetId="9" state="visible" r:id="rId11"/>
    <sheet name="Sourc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<sst xmlns="http://schemas.openxmlformats.org/spreadsheetml/2006/main" count="1962" uniqueCount="356">
  <si>
    <t xml:space="preserve">TICKER-TO-THESIS · EQUITY RESEARCH MODEL</t>
  </si>
  <si>
    <t xml:space="preserve">NIKE, Inc. (NKE)</t>
  </si>
  <si>
    <t xml:space="preserve">Rubber &amp; Plastics Footwear · fiscal year ends 05/31 · model date 2026-10-05 · Abhishek Raut</t>
  </si>
  <si>
    <t xml:space="preserve">Rating</t>
  </si>
  <si>
    <t xml:space="preserve">Price target ($)</t>
  </si>
  <si>
    <t xml:space="preserve">Current price ($)</t>
  </si>
  <si>
    <t xml:space="preserve">Upside / (downside)</t>
  </si>
  <si>
    <t xml:space="preserve">Market cap ($m)</t>
  </si>
  <si>
    <t xml:space="preserve">Enterprise value ($m)</t>
  </si>
  <si>
    <t xml:space="preserve">WACC</t>
  </si>
  <si>
    <t xml:space="preserve">DCF value per share, perpetuity ($)</t>
  </si>
  <si>
    <t xml:space="preserve">DCF value per share, exit multiple ($)</t>
  </si>
  <si>
    <t xml:space="preserve">How to use this model</t>
  </si>
  <si>
    <t xml:space="preserve">1. Assumptions: change blue/yellow cells (growth, margins, ERP, terminal growth, exit multiple) or switch the scenario.</t>
  </si>
  <si>
    <t xml:space="preserve">2. DCF and Sensitivity recalculate live; Valuation shows the football field, blended price target and rating.</t>
  </si>
  <si>
    <t xml:space="preserve">3. Comps: peer multiples and implied values. Benchmark: target vs peer distribution and trends.</t>
  </si>
  <si>
    <t xml:space="preserve">4. Sources: the XBRL tag and SEC filing behind every historical number.</t>
  </si>
  <si>
    <t xml:space="preserve">5. Colour code: blue = input, black = formula, green = link to another sheet, yellow fill = key assumption.</t>
  </si>
  <si>
    <t xml:space="preserve">Educational project generated from public SEC filings and market data. Not investment advice.</t>
  </si>
  <si>
    <t xml:space="preserve">NIKE, Inc. (NKE): assumptions</t>
  </si>
  <si>
    <t xml:space="preserve">Blue = input. Yellow = key assumption. Edit these cells; everything else recalculates.</t>
  </si>
  <si>
    <t xml:space="preserve">Scenario</t>
  </si>
  <si>
    <t xml:space="preserve">Active scenario (1 = Base, 2 = Bear, 3 = Bull)</t>
  </si>
  <si>
    <t xml:space="preserve">Market &amp; valuation inputs</t>
  </si>
  <si>
    <t xml:space="preserve">Risk-free rate (10-year Treasury)</t>
  </si>
  <si>
    <t xml:space="preserve">FRED DGS10 (10-year Treasury), 2026-10-01</t>
  </si>
  <si>
    <t xml:space="preserve">Equity risk premium</t>
  </si>
  <si>
    <t xml:space="preserve">Config assumption; update from Damodaran's latest implied ERP.</t>
  </si>
  <si>
    <t xml:space="preserve">Marginal tax rate (debt shield, beta unlevering)</t>
  </si>
  <si>
    <t xml:space="preserve">US federal 21% + typical state.</t>
  </si>
  <si>
    <t xml:space="preserve">Credit spread (synthetic rating AAA)</t>
  </si>
  <si>
    <t xml:space="preserve">Interest coverage 11.8x maps to AAA; spread after Damodaran's table (approximate).</t>
  </si>
  <si>
    <t xml:space="preserve">Terminal growth rate</t>
  </si>
  <si>
    <t xml:space="preserve">Long-run nominal growth assumption (config).</t>
  </si>
  <si>
    <t xml:space="preserve">Exit multiple (EV / EBITDA)</t>
  </si>
  <si>
    <t xml:space="preserve">Peer median EV / EBITDA (latest fiscal year).</t>
  </si>
  <si>
    <t xml:space="preserve">Minimum WACC spread over terminal growth</t>
  </si>
  <si>
    <t xml:space="preserve">Sanity floor.</t>
  </si>
  <si>
    <t xml:space="preserve">Mid-year discounting (1 = on, 0 = off)</t>
  </si>
  <si>
    <t xml:space="preserve">Cash flows arrive mid-year on average.</t>
  </si>
  <si>
    <t xml:space="preserve">Market data (latest balance sheet 2026-08-31; $m except per share)</t>
  </si>
  <si>
    <t xml:space="preserve">Share price ($)</t>
  </si>
  <si>
    <t xml:space="preserve">Latest close, 2026-10-05.</t>
  </si>
  <si>
    <t xml:space="preserve">Shares outstanding (m)</t>
  </si>
  <si>
    <t xml:space="preserve">WeightedAverageNumberOfDilutedSharesOutstanding (latest period), 2026-08-31.</t>
  </si>
  <si>
    <t xml:space="preserve">Cash &amp; equivalents</t>
  </si>
  <si>
    <t xml:space="preserve">Latest 10-Q/10-K.</t>
  </si>
  <si>
    <t xml:space="preserve">Short-term investments</t>
  </si>
  <si>
    <t xml:space="preserve">Total debt (excl. operating leases)</t>
  </si>
  <si>
    <t xml:space="preserve">Long-term debt incl. current portion + short-term borrowings.</t>
  </si>
  <si>
    <t xml:space="preserve">Net debt</t>
  </si>
  <si>
    <t xml:space="preserve">Market capitalisation</t>
  </si>
  <si>
    <t xml:space="preserve">Operating drivers (base case)</t>
  </si>
  <si>
    <t xml:space="preserve">Driver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</si>
  <si>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</si>
  <si>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</si>
  <si>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</si>
  <si>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</si>
  <si>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</si>
  <si>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growth</t>
  </si>
  <si>
    <t xml:space="preserve">FY27 = guidance (revenue down high-single digits, Q1 FY27 release); modest recovery thereafter as China stabilises.</t>
  </si>
  <si>
    <t xml:space="preserve">EBIT margin</t>
  </si>
  <si>
    <t xml:space="preserve">FY27 ~5% implied by adj. EPS guidance of $1.15-1.35; rebuilds to 11.5% by FY31 as ~$2.5bn Pace savings land (below FY21-24 avg of ~13.5%).</t>
  </si>
  <si>
    <t xml:space="preserve">Tax rate on EBIT</t>
  </si>
  <si>
    <t xml:space="preserve">Management guides a mid-20s effective tax rate for FY27.</t>
  </si>
  <si>
    <t xml:space="preserve">D&amp;A % revenue</t>
  </si>
  <si>
    <t xml:space="preserve">3-year average D&amp;A / revenue.</t>
  </si>
  <si>
    <t xml:space="preserve">Capex % revenue</t>
  </si>
  <si>
    <t xml:space="preserve">3-year average capex / revenue.</t>
  </si>
  <si>
    <t xml:space="preserve">Working capital % revenue</t>
  </si>
  <si>
    <t xml:space="preserve">3-year average operating working capital (receivables + inventory − payables) / revenue.</t>
  </si>
  <si>
    <t xml:space="preserve">Scenario shifts (added to base case)</t>
  </si>
  <si>
    <t xml:space="preserve">Shift</t>
  </si>
  <si>
    <t xml:space="preserve">Base</t>
  </si>
  <si>
    <t xml:space="preserve">Bear</t>
  </si>
  <si>
    <t xml:space="preserve">Bull</t>
  </si>
  <si>
    <t xml:space="preserve">Revenue growth (each year)</t>
  </si>
  <si>
    <t xml:space="preserve">EBIT margin (each year)</t>
  </si>
  <si>
    <t xml:space="preserve">Terminal growth</t>
  </si>
  <si>
    <t xml:space="preserve">Price target weights &amp; rating thresholds</t>
  </si>
  <si>
    <t xml:space="preserve">Weight: DCF (perpetuity growth)</t>
  </si>
  <si>
    <t xml:space="preserve">Weight: DCF (exit multiple)</t>
  </si>
  <si>
    <t xml:space="preserve">Weight: trading comps (EV/EBITDA median)</t>
  </si>
  <si>
    <t xml:space="preserve">BUY if upside above</t>
  </si>
  <si>
    <t xml:space="preserve">SELL if upside below</t>
  </si>
  <si>
    <t xml:space="preserve">NIKE, Inc.: standardised historical financials ($m)</t>
  </si>
  <si>
    <t xml:space="preserve">Source: SEC EDGAR XBRL (10-K). See Sources sheet for the tag and filing behind every value.</t>
  </si>
  <si>
    <t xml:space="preserve">Fiscal year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</si>
  <si>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</si>
  <si>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</si>
  <si>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</si>
  <si>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</si>
  <si>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</si>
  <si>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</si>
  <si>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</si>
  <si>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</si>
  <si>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Revenue</t>
  </si>
  <si>
    <t xml:space="preserve">Cost of revenue</t>
  </si>
  <si>
    <t xml:space="preserve">Gross profit</t>
  </si>
  <si>
    <t xml:space="preserve">Operating income (EBIT)</t>
  </si>
  <si>
    <t xml:space="preserve">Depreciation &amp; amortisation</t>
  </si>
  <si>
    <t xml:space="preserve">EBITDA</t>
  </si>
  <si>
    <t xml:space="preserve">Interest expense</t>
  </si>
  <si>
    <t xml:space="preserve">Pre-tax income</t>
  </si>
  <si>
    <t xml:space="preserve">Income tax</t>
  </si>
  <si>
    <t xml:space="preserve">Net income</t>
  </si>
  <si>
    <t xml:space="preserve">Cash from operations</t>
  </si>
  <si>
    <t xml:space="preserve">Capital expenditure</t>
  </si>
  <si>
    <t xml:space="preserve">Free cash flow</t>
  </si>
  <si>
    <t xml:space="preserve">Stock-based compensation</t>
  </si>
  <si>
    <t xml:space="preserve">Dividends paid</t>
  </si>
  <si>
    <t xml:space="preserve">Share repurchases</t>
  </si>
  <si>
    <t xml:space="preserve">Accounts receivable</t>
  </si>
  <si>
    <t xml:space="preserve">Inventory</t>
  </si>
  <si>
    <t xml:space="preserve">Accounts payable</t>
  </si>
  <si>
    <t xml:space="preserve">Total assets</t>
  </si>
  <si>
    <t xml:space="preserve">Shareholders' equity</t>
  </si>
  <si>
    <t xml:space="preserve">Total debt</t>
  </si>
  <si>
    <t xml:space="preserve">Operating working capital</t>
  </si>
  <si>
    <t xml:space="preserve">Ratios (formulas)</t>
  </si>
  <si>
    <t xml:space="preserve">Gross margin</t>
  </si>
  <si>
    <t xml:space="preserve">EBITDA margin</t>
  </si>
  <si>
    <t xml:space="preserve">Net margin</t>
  </si>
  <si>
    <t xml:space="preserve">FCF margin</t>
  </si>
  <si>
    <t xml:space="preserve">Effective tax rate</t>
  </si>
  <si>
    <t xml:space="preserve">Net debt / EBITDA</t>
  </si>
  <si>
    <t xml:space="preserve">NKE: cost of capital</t>
  </si>
  <si>
    <t xml:space="preserve">Bottom-up beta: peers' regression betas, unlevered, median, relevered at the target's capital structure.</t>
  </si>
  <si>
    <t xml:space="preserve">Company</t>
  </si>
  <si>
    <t xml:space="preserve">Raw beta (2y weekly)</t>
  </si>
  <si>
    <t xml:space="preserve">R²</t>
  </si>
  <si>
    <t xml:space="preserve">Adjusted beta</t>
  </si>
  <si>
    <t xml:space="preserve">Debt ($m)</t>
  </si>
  <si>
    <t xml:space="preserve">Debt / equity</t>
  </si>
  <si>
    <t xml:space="preserve">Unlevered beta</t>
  </si>
  <si>
    <t xml:space="preserve">Role</t>
  </si>
  <si>
    <t xml:space="preserve">NKE</t>
  </si>
  <si>
    <t xml:space="preserve">Target</t>
  </si>
  <si>
    <t xml:space="preserve">LULU</t>
  </si>
  <si>
    <t xml:space="preserve">Peer</t>
  </si>
  <si>
    <t xml:space="preserve">DECK</t>
  </si>
  <si>
    <t xml:space="preserve">CROX</t>
  </si>
  <si>
    <t xml:space="preserve">UAA</t>
  </si>
  <si>
    <t xml:space="preserve">VFC</t>
  </si>
  <si>
    <t xml:space="preserve">COLM</t>
  </si>
  <si>
    <t xml:space="preserve">Median unlevered beta (peers)</t>
  </si>
  <si>
    <t xml:space="preserve">Target debt / equity (market)</t>
  </si>
  <si>
    <t xml:space="preserve">Relevered beta</t>
  </si>
  <si>
    <t xml:space="preserve">Target's own adjusted beta: 1.00 (shown for reference)</t>
  </si>
  <si>
    <t xml:space="preserve">Risk-free rate</t>
  </si>
  <si>
    <t xml:space="preserve">Cost of equity</t>
  </si>
  <si>
    <t xml:space="preserve">Pre-tax cost of debt (rf + spread)</t>
  </si>
  <si>
    <t xml:space="preserve">After-tax cost of debt</t>
  </si>
  <si>
    <t xml:space="preserve">Weight of equity</t>
  </si>
  <si>
    <t xml:space="preserve">Weight of debt</t>
  </si>
  <si>
    <t xml:space="preserve">WACC (calculated)</t>
  </si>
  <si>
    <t xml:space="preserve">WACC (after floor: terminal growth + min spread)</t>
  </si>
  <si>
    <t xml:space="preserve">WACC used (incl. scenario shift)</t>
  </si>
  <si>
    <t xml:space="preserve">NKE: discounted cash flow ($m)</t>
  </si>
  <si>
    <t xml:space="preserve">Unlevered free cash flow = EBIT × (1 − tax) + D&amp;A − capex − Δ working capital. Mid-year discounting.</t>
  </si>
  <si>
    <t xml:space="preserve">FY2026A</t>
  </si>
  <si>
    <t xml:space="preserve">Year number</t>
  </si>
  <si>
    <t xml:space="preserve">EBIT</t>
  </si>
  <si>
    <t xml:space="preserve">Taxes on EBIT</t>
  </si>
  <si>
    <t xml:space="preserve">NOPAT</t>
  </si>
  <si>
    <t xml:space="preserve">D&amp;A</t>
  </si>
  <si>
    <t xml:space="preserve">Capex</t>
  </si>
  <si>
    <t xml:space="preserve">Working capital</t>
  </si>
  <si>
    <t xml:space="preserve">Δ Working capital</t>
  </si>
  <si>
    <t xml:space="preserve">Unlevered free cash flow</t>
  </si>
  <si>
    <t xml:space="preserve">Discount period (years)</t>
  </si>
  <si>
    <t xml:space="preserve">Discount factor</t>
  </si>
  <si>
    <t xml:space="preserve">PV of UFCF</t>
  </si>
  <si>
    <t xml:space="preserve">Perpetuity growth method</t>
  </si>
  <si>
    <t xml:space="preserve">Sum of PV of UFCF</t>
  </si>
  <si>
    <t xml:space="preserve">Terminal value</t>
  </si>
  <si>
    <t xml:space="preserve">Gordon growth: UFCF in year N × (1 + g) / (WACC − g), discounted from the end of year N.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</si>
  <si>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</si>
  <si>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</si>
  <si>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</si>
  <si>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</si>
  <si>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</si>
  <si>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Terminal value % of EV</t>
  </si>
  <si>
    <t xml:space="preserve">Implied exit multiple (EV/EBITDA)</t>
  </si>
  <si>
    <t xml:space="preserve">Exit multiple method</t>
  </si>
  <si>
    <t xml:space="preserve">Exit multiple (EV/EBITDA)</t>
  </si>
  <si>
    <t xml:space="preserve">Implied perpetual growth</t>
  </si>
  <si>
    <t xml:space="preserve">NKE: value per share sensitivity ($)</t>
  </si>
  <si>
    <t xml:space="preserve">Live formulas: each cell re-runs the DCF for that WACC and terminal assumption.</t>
  </si>
  <si>
    <t xml:space="preserve">WACC step</t>
  </si>
  <si>
    <t xml:space="preserve">g step</t>
  </si>
  <si>
    <t xml:space="preserve">Multiple step</t>
  </si>
  <si>
    <t xml:space="preserve">Perpetuity growth method: WACC (rows) × terminal growth (columns)</t>
  </si>
  <si>
    <t xml:space="preserve">WACC \ g</t>
  </si>
  <si>
    <t xml:space="preserve">Exit multiple method: WACC (rows) × EV/EBITDA exit multiple (columns)</t>
  </si>
  <si>
    <t xml:space="preserve">WACC \ multiple</t>
  </si>
  <si>
    <t xml:space="preserve">Current share price</t>
  </si>
  <si>
    <t xml:space="preserve">Trading comparables (latest fiscal year; $m except per share)</t>
  </si>
  <si>
    <t xml:space="preserve">Multiples on the latest reported fiscal year. Negative or extreme multiples are blanked (not meaningful).</t>
  </si>
  <si>
    <t xml:space="preserve">Ticker</t>
  </si>
  <si>
    <t xml:space="preserve">FY</t>
  </si>
  <si>
    <t xml:space="preserve">Price ($)</t>
  </si>
  <si>
    <t xml:space="preserve">Shares (m)</t>
  </si>
  <si>
    <t xml:space="preserve">Market cap</t>
  </si>
  <si>
    <t xml:space="preserve">Debt</t>
  </si>
  <si>
    <t xml:space="preserve">Cash + ST inv.</t>
  </si>
  <si>
    <t xml:space="preserve">EV / Revenue</t>
  </si>
  <si>
    <t xml:space="preserve">EV / EBITDA</t>
  </si>
  <si>
    <t xml:space="preserve">P / E</t>
  </si>
  <si>
    <t xml:space="preserve">lululemon athletica inc.</t>
  </si>
  <si>
    <t xml:space="preserve">DECKERS OUTDOOR CORP</t>
  </si>
  <si>
    <t xml:space="preserve">Crocs, Inc.</t>
  </si>
  <si>
    <t xml:space="preserve">Under Armour, Inc.</t>
  </si>
  <si>
    <t xml:space="preserve">V F CORP</t>
  </si>
  <si>
    <t xml:space="preserve">COLUMBIA SPORTSWEAR CO</t>
  </si>
  <si>
    <t xml:space="preserve">NIKE, Inc.</t>
  </si>
  <si>
    <t xml:space="preserve">Peer 25th percentile</t>
  </si>
  <si>
    <t xml:space="preserve">Peer median</t>
  </si>
  <si>
    <t xml:space="preserve">Peer 75th percentile</t>
  </si>
  <si>
    <t xml:space="preserve">Implied value per share for NKE ($)</t>
  </si>
  <si>
    <t xml:space="preserve">Method</t>
  </si>
  <si>
    <t xml:space="preserve">Low (Q1)</t>
  </si>
  <si>
    <t xml:space="preserve">Median</t>
  </si>
  <si>
    <t xml:space="preserve">High (Q3)</t>
  </si>
  <si>
    <t xml:space="preserve">NIKE, Inc. (NKE): valuation summary</t>
  </si>
  <si>
    <t xml:space="preserve">Football field, blended price target and rating, all linked to the model.</t>
  </si>
  <si>
    <t xml:space="preserve">Low ($)</t>
  </si>
  <si>
    <t xml:space="preserve">High ($)</t>
  </si>
  <si>
    <t xml:space="preserve">Midpoint ($)</t>
  </si>
  <si>
    <t xml:space="preserve">Basis</t>
  </si>
  <si>
    <t xml:space="preserve">Chart helper</t>
  </si>
  <si>
    <t xml:space="preserve">52-week trading range (closing prices)</t>
  </si>
  <si>
    <t xml:space="preserve">Market data</t>
  </si>
  <si>
    <t xml:space="preserve">Low</t>
  </si>
  <si>
    <t xml:space="preserve">Range</t>
  </si>
  <si>
    <t xml:space="preserve">Trading comps: EV / EBITDA (peer Q1–Q3)</t>
  </si>
  <si>
    <t xml:space="preserve">Comps sheet</t>
  </si>
  <si>
    <t xml:space="preserve">Trading comps: P / E (peer Q1–Q3)</t>
  </si>
  <si>
    <t xml:space="preserve">DCF: perpetuity growth (WACC ±0.5pp, g ±0.25pp)</t>
  </si>
  <si>
    <t xml:space="preserve">Sensitivity sheet</t>
  </si>
  <si>
    <t xml:space="preserve">DCF: exit multiple (WACC ±0.5pp, multiple ±1x)</t>
  </si>
  <si>
    <t xml:space="preserve">Scenarios: bear to bull (DCF snapshot)</t>
  </si>
  <si>
    <t xml:space="preserve">Snapshot; switch the scenario on Assumptions to recompute live</t>
  </si>
  <si>
    <t xml:space="preserve">Blended price target</t>
  </si>
  <si>
    <t xml:space="preserve">Component</t>
  </si>
  <si>
    <t xml:space="preserve">Value ($)</t>
  </si>
  <si>
    <t xml:space="preserve">Weight</t>
  </si>
  <si>
    <t xml:space="preserve">Contribution</t>
  </si>
  <si>
    <t xml:space="preserve">DCF: perpetuity growth</t>
  </si>
  <si>
    <t xml:space="preserve">DCF: exit multiple</t>
  </si>
  <si>
    <t xml:space="preserve">Trading comps: EV / EBITDA median</t>
  </si>
  <si>
    <t xml:space="preserve">Price target</t>
  </si>
  <si>
    <t xml:space="preserve">Implied upside / (downside)</t>
  </si>
  <si>
    <t xml:space="preserve">Scenario snapshot (DCF perpetuity method)</t>
  </si>
  <si>
    <t xml:space="preserve">vs price</t>
  </si>
  <si>
    <t xml:space="preserve">NKE vs peers: benchmarking</t>
  </si>
  <si>
    <t xml:space="preserve">Peers: LULU, DECK, CROX, UAA, VFC, COLM. Latest fiscal year for each company.</t>
  </si>
  <si>
    <t xml:space="preserve">Metric</t>
  </si>
  <si>
    <t xml:space="preserve">Peer Q1</t>
  </si>
  <si>
    <t xml:space="preserve">Peer Q3</t>
  </si>
  <si>
    <t xml:space="preserve">Percentile (100 = best)</t>
  </si>
  <si>
    <t xml:space="preserve">Verdict</t>
  </si>
  <si>
    <t xml:space="preserve">Worse</t>
  </si>
  <si>
    <t xml:space="preserve">Revenue CAGR (3y)</t>
  </si>
  <si>
    <t xml:space="preserve">Better</t>
  </si>
  <si>
    <t xml:space="preserve">ROIC</t>
  </si>
  <si>
    <t xml:space="preserve">FCF conversion (FCF / net income)</t>
  </si>
  <si>
    <t xml:space="preserve">Interest coverage (EBIT / interest)</t>
  </si>
  <si>
    <t xml:space="preserve">Inventory days</t>
  </si>
  <si>
    <t xml:space="preserve">Cash conversion cycle</t>
  </si>
  <si>
    <t xml:space="preserve">Trend: Revenue growth</t>
  </si>
  <si>
    <t xml:space="preserve">Trend: Gross margin</t>
  </si>
  <si>
    <t xml:space="preserve">FY2018</t>
  </si>
  <si>
    <t xml:space="preserve">Trend: EBIT margin</t>
  </si>
  <si>
    <t xml:space="preserve">Trend: ROIC</t>
  </si>
  <si>
    <t xml:space="preserve">Trend: FCF margin</t>
  </si>
  <si>
    <t xml:space="preserve">Trend: Net debt / EBITDA</t>
  </si>
  <si>
    <t xml:space="preserve">Data provenance</t>
  </si>
  <si>
    <t xml:space="preserve">Every historical value: the XBRL tag it came from and the SEC filing (click to open).</t>
  </si>
  <si>
    <t xml:space="preserve">Line item</t>
  </si>
  <si>
    <t xml:space="preserve">Period end</t>
  </si>
  <si>
    <t xml:space="preserve">Value ($m)</t>
  </si>
  <si>
    <t xml:space="preserve">XBRL tag</t>
  </si>
  <si>
    <t xml:space="preserve">Form</t>
  </si>
  <si>
    <t xml:space="preserve">Accession</t>
  </si>
  <si>
    <t xml:space="preserve">Filed</t>
  </si>
  <si>
    <t xml:space="preserve">2019-05-31</t>
  </si>
  <si>
    <t xml:space="preserve">PaymentsForRepurchaseOfCommonStock</t>
  </si>
  <si>
    <t xml:space="preserve">10-K</t>
  </si>
  <si>
    <t xml:space="preserve">0000320187-21-000028</t>
  </si>
  <si>
    <t xml:space="preserve">2021-07-20</t>
  </si>
  <si>
    <t xml:space="preserve">2020-05-31</t>
  </si>
  <si>
    <t xml:space="preserve">0000320187-22-000038</t>
  </si>
  <si>
    <t xml:space="preserve">2022-07-21</t>
  </si>
  <si>
    <t xml:space="preserve">2021-05-31</t>
  </si>
  <si>
    <t xml:space="preserve">0000320187-23-000039</t>
  </si>
  <si>
    <t xml:space="preserve">2023-07-20</t>
  </si>
  <si>
    <t xml:space="preserve">2022-05-31</t>
  </si>
  <si>
    <t xml:space="preserve">0000320187-24-000044</t>
  </si>
  <si>
    <t xml:space="preserve">2024-07-25</t>
  </si>
  <si>
    <t xml:space="preserve">2023-05-31</t>
  </si>
  <si>
    <t xml:space="preserve">0000320187-25-000047</t>
  </si>
  <si>
    <t xml:space="preserve">2025-07-17</t>
  </si>
  <si>
    <t xml:space="preserve">2024-05-31</t>
  </si>
  <si>
    <t xml:space="preserve">0000320187-26-000088</t>
  </si>
  <si>
    <t xml:space="preserve">2026-07-15</t>
  </si>
  <si>
    <t xml:space="preserve">2025-05-31</t>
  </si>
  <si>
    <t xml:space="preserve">2026-05-31</t>
  </si>
  <si>
    <t xml:space="preserve">PaymentsToAcquirePropertyPlantAndEquipment</t>
  </si>
  <si>
    <t xml:space="preserve">CashAndCashEquivalentsAtCarryingValue</t>
  </si>
  <si>
    <t xml:space="preserve">0000320187-20-000047</t>
  </si>
  <si>
    <t xml:space="preserve">2020-07-24</t>
  </si>
  <si>
    <t xml:space="preserve">NetCashProvidedByUsedInOperatingActivities</t>
  </si>
  <si>
    <t xml:space="preserve">CostOfGoodsAndServicesSold</t>
  </si>
  <si>
    <t xml:space="preserve">Current assets</t>
  </si>
  <si>
    <t xml:space="preserve">AssetsCurrent</t>
  </si>
  <si>
    <t xml:space="preserve">Current liabilities</t>
  </si>
  <si>
    <t xml:space="preserve">LiabilitiesCurrent</t>
  </si>
  <si>
    <t xml:space="preserve">DepreciationDepletionAndAmortization</t>
  </si>
  <si>
    <t xml:space="preserve">depreciation</t>
  </si>
  <si>
    <t xml:space="preserve">Depreciation</t>
  </si>
  <si>
    <t xml:space="preserve">Diluted shares (weighted avg)</t>
  </si>
  <si>
    <t xml:space="preserve">WeightedAverageNumberOfDilutedSharesOutstanding</t>
  </si>
  <si>
    <t xml:space="preserve">PaymentsOfDividendsCommonStock</t>
  </si>
  <si>
    <t xml:space="preserve">Diluted EPS</t>
  </si>
  <si>
    <t xml:space="preserve">EarningsPerShareDiluted</t>
  </si>
  <si>
    <t xml:space="preserve">StockholdersEquity</t>
  </si>
  <si>
    <t xml:space="preserve">Goodwill</t>
  </si>
  <si>
    <t xml:space="preserve">GrossProfit</t>
  </si>
  <si>
    <t xml:space="preserve">IncomeTaxExpenseBenefit</t>
  </si>
  <si>
    <t xml:space="preserve">InterestPaidNet</t>
  </si>
  <si>
    <t xml:space="preserve">InventoryFinishedGoodsNetOfReserves</t>
  </si>
  <si>
    <t xml:space="preserve">lt_debt_current</t>
  </si>
  <si>
    <t xml:space="preserve">LongTermDebtCurrent</t>
  </si>
  <si>
    <t xml:space="preserve">lt_debt_noncurrent</t>
  </si>
  <si>
    <t xml:space="preserve">LongTermDebtNoncurrent</t>
  </si>
  <si>
    <t xml:space="preserve">lt_debt_total</t>
  </si>
  <si>
    <t xml:space="preserve">LongTermDebt</t>
  </si>
  <si>
    <t xml:space="preserve">NetIncomeLoss</t>
  </si>
  <si>
    <t xml:space="preserve">derived</t>
  </si>
  <si>
    <t xml:space="preserve">DERIVED: gross profit − SG&amp;A − R&amp;D</t>
  </si>
  <si>
    <t xml:space="preserve">AccountsPayableCurrent</t>
  </si>
  <si>
    <t xml:space="preserve">PP&amp;E, net</t>
  </si>
  <si>
    <t xml:space="preserve">PropertyPlantAndEquipmentNet</t>
  </si>
  <si>
    <t xml:space="preserve">IncomeLossFromContinuingOperationsBeforeIncomeTaxesMinorityInterestAndIncomeLossFromEquityMethodInvestments</t>
  </si>
  <si>
    <t xml:space="preserve">IncomeLossFromContinuingOperationsBeforeIncomeTaxesExtraordinaryItemsNoncontrollingInterest</t>
  </si>
  <si>
    <t xml:space="preserve">AccountsReceivableNetCurrent</t>
  </si>
  <si>
    <t xml:space="preserve">RevenueFromContractWithCustomerExcludingAssessedTax</t>
  </si>
  <si>
    <t xml:space="preserve">ShareBasedCompensation</t>
  </si>
  <si>
    <t xml:space="preserve">sga</t>
  </si>
  <si>
    <t xml:space="preserve">SellingGeneralAndAdministrativeExpense</t>
  </si>
  <si>
    <t xml:space="preserve">st_borrowings</t>
  </si>
  <si>
    <t xml:space="preserve">ShortTermBorrowings</t>
  </si>
  <si>
    <t xml:space="preserve">AvailableForSaleSecuritiesDebtSecuritiesCurrent</t>
  </si>
  <si>
    <t xml:space="preserve">DebtSecuritiesAvailableForSaleExcludingAccruedInterestCurrent</t>
  </si>
  <si>
    <t xml:space="preserve">Assets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</si>
</sst>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;&quot;($&quot;#,##0.00\);\-"/>
    <numFmt numFmtId="166" formatCode="0.0%;\(0.0%\);\-"/>
    <numFmt numFmtId="167" formatCode="#,##0;\(#,##0\);\-"/>
    <numFmt numFmtId="168" formatCode="0.0\x;\(0.0&quot;x)&quot;;\-"/>
    <numFmt numFmtId="169" formatCode="0"/>
    <numFmt numFmtId="170" formatCode="#,##0.0"/>
    <numFmt numFmtId="171" formatCode="0.00"/>
    <numFmt numFmtId="172" formatCode="0.0"/>
    <numFmt numFmtId="173" formatCode="0.000"/>
    <numFmt numFmtId="174" formatCode="#,##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777777"/>
      <name val="Arial"/>
      <family val="0"/>
      <charset val="1"/>
    </font>
    <font>
      <b val="true"/>
      <sz val="18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4"/>
      <color rgb="FF1F2A4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10"/>
      <color rgb="FF999999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2A44"/>
        <bgColor rgb="FF003366"/>
      </patternFill>
    </fill>
    <fill>
      <patternFill patternType="solid">
        <fgColor rgb="FFE8ECF4"/>
        <bgColor rgb="FFF3F4F6"/>
      </patternFill>
    </fill>
    <fill>
      <patternFill patternType="solid">
        <fgColor rgb="FFFFF2CC"/>
        <bgColor rgb="FFF3F4F6"/>
      </patternFill>
    </fill>
    <fill>
      <patternFill patternType="solid">
        <fgColor rgb="FFF3F4F6"/>
        <bgColor rgb="FFE8ECF4"/>
      </patternFill>
    </fill>
    <fill>
      <patternFill patternType="solid">
        <fgColor rgb="FFF4CCCC"/>
        <bgColor rgb="FFD9D9D9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CE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AA5B8"/>
      <rgbColor rgb="FF993366"/>
      <rgbColor rgb="FFFFF2CC"/>
      <rgbColor rgb="FFE8ECF4"/>
      <rgbColor rgb="FF660066"/>
      <rgbColor rgb="FFFF8080"/>
      <rgbColor rgb="FF0563C1"/>
      <rgbColor rgb="FFC9CE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9EAD3"/>
      <rgbColor rgb="FFFFFF99"/>
      <rgbColor rgb="FF99CCFF"/>
      <rgbColor rgb="FFFF99CC"/>
      <rgbColor rgb="FFCC99FF"/>
      <rgbColor rgb="FFF4CCCC"/>
      <rgbColor rgb="FF2A78D6"/>
      <rgbColor rgb="FF33CCCC"/>
      <rgbColor rgb="FF99CC00"/>
      <rgbColor rgb="FFFFCC00"/>
      <rgbColor rgb="FFFF9900"/>
      <rgbColor rgb="FFFF6600"/>
      <rgbColor rgb="FF777777"/>
      <rgbColor rgb="FF999999"/>
      <rgbColor rgb="FF003366"/>
      <rgbColor rgb="FF339966"/>
      <rgbColor rgb="FF003300"/>
      <rgbColor rgb="FF333300"/>
      <rgbColor rgb="FF993300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Valuation football field ($ per share)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Valuation!H5</c:f>
              <c:strCache>
                <c:ptCount val="1"/>
                <c:pt idx="0">
                  <c:v>Low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Valuation!$G$6:$G$11</c:f>
              <c:strCache>
                <c:ptCount val="6"/>
                <c:pt idx="0">
                  <c:v>52-week trading range (closing prices)</c:v>
                </c:pt>
                <c:pt idx="1">
                  <c:v>Trading comps: EV / EBITDA (peer Q1–Q3)</c:v>
                </c:pt>
                <c:pt idx="2">
                  <c:v>Trading comps: P / E (peer Q1–Q3)</c:v>
                </c:pt>
                <c:pt idx="3">
                  <c:v>DCF: perpetuity growth (WACC ±0.5pp, g ±0.25pp)</c:v>
                </c:pt>
                <c:pt idx="4">
                  <c:v>DCF: exit multiple (WACC ±0.5pp, multiple ±1x)</c:v>
                </c:pt>
                <c:pt idx="5">
                  <c:v>Scenarios: bear to bull (DCF snapshot)</c:v>
                </c:pt>
              </c:strCache>
            </c:strRef>
          </c:cat>
          <c:val>
            <c:numRef>
              <c:f>Valuation!$H$6:$H$11</c:f>
              <c:numCache>
                <c:formatCode>\$#,##0.00;"($"#,##0.00\);\-</c:formatCode>
                <c:ptCount val="6"/>
                <c:pt idx="0">
                  <c:v>33.8699989318848</c:v>
                </c:pt>
                <c:pt idx="1">
                  <c:v>21.3389285582093</c:v>
                </c:pt>
                <c:pt idx="2">
                  <c:v>19.8591961951417</c:v>
                </c:pt>
                <c:pt idx="3">
                  <c:v>32.1301494945574</c:v>
                </c:pt>
                <c:pt idx="4">
                  <c:v>29.5899824403638</c:v>
                </c:pt>
                <c:pt idx="5">
                  <c:v>22.5027008103501</c:v>
                </c:pt>
              </c:numCache>
            </c:numRef>
          </c:val>
        </c:ser>
        <c:ser>
          <c:idx val="1"/>
          <c:order val="1"/>
          <c:tx>
            <c:strRef>
              <c:f>Valuation!I5</c:f>
              <c:strCache>
                <c:ptCount val="1"/>
                <c:pt idx="0">
                  <c:v>Range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Valuation!$G$6:$G$11</c:f>
              <c:strCache>
                <c:ptCount val="6"/>
                <c:pt idx="0">
                  <c:v>52-week trading range (closing prices)</c:v>
                </c:pt>
                <c:pt idx="1">
                  <c:v>Trading comps: EV / EBITDA (peer Q1–Q3)</c:v>
                </c:pt>
                <c:pt idx="2">
                  <c:v>Trading comps: P / E (peer Q1–Q3)</c:v>
                </c:pt>
                <c:pt idx="3">
                  <c:v>DCF: perpetuity growth (WACC ±0.5pp, g ±0.25pp)</c:v>
                </c:pt>
                <c:pt idx="4">
                  <c:v>DCF: exit multiple (WACC ±0.5pp, multiple ±1x)</c:v>
                </c:pt>
                <c:pt idx="5">
                  <c:v>Scenarios: bear to bull (DCF snapshot)</c:v>
                </c:pt>
              </c:strCache>
            </c:strRef>
          </c:cat>
          <c:val>
            <c:numRef>
              <c:f>Valuation!$I$6:$I$11</c:f>
              <c:numCache>
                <c:formatCode>\$#,##0.00;"($"#,##0.00\);\-</c:formatCode>
                <c:ptCount val="6"/>
                <c:pt idx="0">
                  <c:v>38.060001373291</c:v>
                </c:pt>
                <c:pt idx="1">
                  <c:v>8.7008699155087</c:v>
                </c:pt>
                <c:pt idx="2">
                  <c:v>17.6517212107911</c:v>
                </c:pt>
                <c:pt idx="3">
                  <c:v>7.74868443529416</c:v>
                </c:pt>
                <c:pt idx="4">
                  <c:v>6.94686404342816</c:v>
                </c:pt>
                <c:pt idx="5">
                  <c:v>36.0286120486115</c:v>
                </c:pt>
              </c:numCache>
            </c:numRef>
          </c:val>
        </c:ser>
        <c:gapWidth val="150"/>
        <c:overlap val="100"/>
        <c:axId val="33275933"/>
        <c:axId val="28417606"/>
      </c:barChart>
      <c:catAx>
        <c:axId val="3327593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417606"/>
        <c:crosses val="autoZero"/>
        <c:auto val="1"/>
        <c:lblAlgn val="ctr"/>
        <c:lblOffset val="100"/>
        <c:noMultiLvlLbl val="0"/>
      </c:catAx>
      <c:valAx>
        <c:axId val="28417606"/>
        <c:scaling>
          <c:orientation val="minMax"/>
        </c:scaling>
        <c:delete val="0"/>
        <c:axPos val="l"/>
        <c:numFmt formatCode="\$#,##0.00;&quot;($&quot;#,##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75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27</xdr:row>
      <xdr:rowOff>48240</xdr:rowOff>
    </xdr:from>
    <xdr:to>
      <xdr:col>4</xdr:col>
      <xdr:colOff>982080</xdr:colOff>
      <xdr:row>42</xdr:row>
      <xdr:rowOff>70560</xdr:rowOff>
    </xdr:to>
    <xdr:graphicFrame>
      <xdr:nvGraphicFramePr>
        <xdr:cNvPr id="0" name="Chart 1"/>
        <xdr:cNvGraphicFramePr/>
      </xdr:nvGraphicFramePr>
      <xdr:xfrm>
        <a:off x="141120" y="533412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320187/000032018721000028/0000320187-21-000028-index.htm" TargetMode="External"/><Relationship Id="rId2" Type="http://schemas.openxmlformats.org/officeDocument/2006/relationships/hyperlink" Target="https://www.sec.gov/Archives/edgar/data/320187/000032018722000038/0000320187-22-000038-index.htm" TargetMode="External"/><Relationship Id="rId3" Type="http://schemas.openxmlformats.org/officeDocument/2006/relationships/hyperlink" Target="https://www.sec.gov/Archives/edgar/data/320187/000032018723000039/0000320187-23-000039-index.htm" TargetMode="External"/><Relationship Id="rId4" Type="http://schemas.openxmlformats.org/officeDocument/2006/relationships/hyperlink" Target="https://www.sec.gov/Archives/edgar/data/320187/000032018724000044/0000320187-24-000044-index.htm" TargetMode="External"/><Relationship Id="rId5" Type="http://schemas.openxmlformats.org/officeDocument/2006/relationships/hyperlink" Target="https://www.sec.gov/Archives/edgar/data/320187/000032018725000047/0000320187-25-000047-index.htm" TargetMode="External"/><Relationship Id="rId6" Type="http://schemas.openxmlformats.org/officeDocument/2006/relationships/hyperlink" Target="https://www.sec.gov/Archives/edgar/data/320187/000032018726000088/0000320187-26-000088-index.htm" TargetMode="External"/><Relationship Id="rId7" Type="http://schemas.openxmlformats.org/officeDocument/2006/relationships/hyperlink" Target="https://www.sec.gov/Archives/edgar/data/320187/000032018726000088/0000320187-26-000088-index.htm" TargetMode="External"/><Relationship Id="rId8" Type="http://schemas.openxmlformats.org/officeDocument/2006/relationships/hyperlink" Target="https://www.sec.gov/Archives/edgar/data/320187/000032018726000088/0000320187-26-000088-index.htm" TargetMode="External"/><Relationship Id="rId9" Type="http://schemas.openxmlformats.org/officeDocument/2006/relationships/hyperlink" Target="https://www.sec.gov/Archives/edgar/data/320187/000032018721000028/0000320187-21-000028-index.htm" TargetMode="External"/><Relationship Id="rId10" Type="http://schemas.openxmlformats.org/officeDocument/2006/relationships/hyperlink" Target="https://www.sec.gov/Archives/edgar/data/320187/000032018722000038/0000320187-22-000038-index.htm" TargetMode="External"/><Relationship Id="rId11" Type="http://schemas.openxmlformats.org/officeDocument/2006/relationships/hyperlink" Target="https://www.sec.gov/Archives/edgar/data/320187/000032018723000039/0000320187-23-000039-index.htm" TargetMode="External"/><Relationship Id="rId12" Type="http://schemas.openxmlformats.org/officeDocument/2006/relationships/hyperlink" Target="https://www.sec.gov/Archives/edgar/data/320187/000032018724000044/0000320187-24-000044-index.htm" TargetMode="External"/><Relationship Id="rId13" Type="http://schemas.openxmlformats.org/officeDocument/2006/relationships/hyperlink" Target="https://www.sec.gov/Archives/edgar/data/320187/000032018725000047/0000320187-25-000047-index.htm" TargetMode="External"/><Relationship Id="rId14" Type="http://schemas.openxmlformats.org/officeDocument/2006/relationships/hyperlink" Target="https://www.sec.gov/Archives/edgar/data/320187/000032018726000088/0000320187-26-000088-index.htm" TargetMode="External"/><Relationship Id="rId15" Type="http://schemas.openxmlformats.org/officeDocument/2006/relationships/hyperlink" Target="https://www.sec.gov/Archives/edgar/data/320187/000032018726000088/0000320187-26-000088-index.htm" TargetMode="External"/><Relationship Id="rId16" Type="http://schemas.openxmlformats.org/officeDocument/2006/relationships/hyperlink" Target="https://www.sec.gov/Archives/edgar/data/320187/000032018726000088/0000320187-26-000088-index.htm" TargetMode="External"/><Relationship Id="rId17" Type="http://schemas.openxmlformats.org/officeDocument/2006/relationships/hyperlink" Target="https://www.sec.gov/Archives/edgar/data/320187/000032018720000047/0000320187-20-000047-index.htm" TargetMode="External"/><Relationship Id="rId18" Type="http://schemas.openxmlformats.org/officeDocument/2006/relationships/hyperlink" Target="https://www.sec.gov/Archives/edgar/data/320187/000032018721000028/0000320187-21-000028-index.htm" TargetMode="External"/><Relationship Id="rId19" Type="http://schemas.openxmlformats.org/officeDocument/2006/relationships/hyperlink" Target="https://www.sec.gov/Archives/edgar/data/320187/000032018722000038/0000320187-22-000038-index.htm" TargetMode="External"/><Relationship Id="rId20" Type="http://schemas.openxmlformats.org/officeDocument/2006/relationships/hyperlink" Target="https://www.sec.gov/Archives/edgar/data/320187/000032018723000039/0000320187-23-000039-index.htm" TargetMode="External"/><Relationship Id="rId21" Type="http://schemas.openxmlformats.org/officeDocument/2006/relationships/hyperlink" Target="https://www.sec.gov/Archives/edgar/data/320187/000032018724000044/0000320187-24-000044-index.htm" TargetMode="External"/><Relationship Id="rId22" Type="http://schemas.openxmlformats.org/officeDocument/2006/relationships/hyperlink" Target="https://www.sec.gov/Archives/edgar/data/320187/000032018725000047/0000320187-25-000047-index.htm" TargetMode="External"/><Relationship Id="rId23" Type="http://schemas.openxmlformats.org/officeDocument/2006/relationships/hyperlink" Target="https://www.sec.gov/Archives/edgar/data/320187/000032018726000088/0000320187-26-000088-index.htm" TargetMode="External"/><Relationship Id="rId24" Type="http://schemas.openxmlformats.org/officeDocument/2006/relationships/hyperlink" Target="https://www.sec.gov/Archives/edgar/data/320187/000032018726000088/0000320187-26-000088-index.htm" TargetMode="External"/><Relationship Id="rId25" Type="http://schemas.openxmlformats.org/officeDocument/2006/relationships/hyperlink" Target="https://www.sec.gov/Archives/edgar/data/320187/000032018721000028/0000320187-21-000028-index.htm" TargetMode="External"/><Relationship Id="rId26" Type="http://schemas.openxmlformats.org/officeDocument/2006/relationships/hyperlink" Target="https://www.sec.gov/Archives/edgar/data/320187/000032018722000038/0000320187-22-000038-index.htm" TargetMode="External"/><Relationship Id="rId27" Type="http://schemas.openxmlformats.org/officeDocument/2006/relationships/hyperlink" Target="https://www.sec.gov/Archives/edgar/data/320187/000032018723000039/0000320187-23-000039-index.htm" TargetMode="External"/><Relationship Id="rId28" Type="http://schemas.openxmlformats.org/officeDocument/2006/relationships/hyperlink" Target="https://www.sec.gov/Archives/edgar/data/320187/000032018724000044/0000320187-24-000044-index.htm" TargetMode="External"/><Relationship Id="rId29" Type="http://schemas.openxmlformats.org/officeDocument/2006/relationships/hyperlink" Target="https://www.sec.gov/Archives/edgar/data/320187/000032018725000047/0000320187-25-000047-index.htm" TargetMode="External"/><Relationship Id="rId30" Type="http://schemas.openxmlformats.org/officeDocument/2006/relationships/hyperlink" Target="https://www.sec.gov/Archives/edgar/data/320187/000032018726000088/0000320187-26-000088-index.htm" TargetMode="External"/><Relationship Id="rId31" Type="http://schemas.openxmlformats.org/officeDocument/2006/relationships/hyperlink" Target="https://www.sec.gov/Archives/edgar/data/320187/000032018726000088/0000320187-26-000088-index.htm" TargetMode="External"/><Relationship Id="rId32" Type="http://schemas.openxmlformats.org/officeDocument/2006/relationships/hyperlink" Target="https://www.sec.gov/Archives/edgar/data/320187/000032018726000088/0000320187-26-000088-index.htm" TargetMode="External"/><Relationship Id="rId33" Type="http://schemas.openxmlformats.org/officeDocument/2006/relationships/hyperlink" Target="https://www.sec.gov/Archives/edgar/data/320187/000032018721000028/0000320187-21-000028-index.htm" TargetMode="External"/><Relationship Id="rId34" Type="http://schemas.openxmlformats.org/officeDocument/2006/relationships/hyperlink" Target="https://www.sec.gov/Archives/edgar/data/320187/000032018722000038/0000320187-22-000038-index.htm" TargetMode="External"/><Relationship Id="rId35" Type="http://schemas.openxmlformats.org/officeDocument/2006/relationships/hyperlink" Target="https://www.sec.gov/Archives/edgar/data/320187/000032018723000039/0000320187-23-000039-index.htm" TargetMode="External"/><Relationship Id="rId36" Type="http://schemas.openxmlformats.org/officeDocument/2006/relationships/hyperlink" Target="https://www.sec.gov/Archives/edgar/data/320187/000032018724000044/0000320187-24-000044-index.htm" TargetMode="External"/><Relationship Id="rId37" Type="http://schemas.openxmlformats.org/officeDocument/2006/relationships/hyperlink" Target="https://www.sec.gov/Archives/edgar/data/320187/000032018725000047/0000320187-25-000047-index.htm" TargetMode="External"/><Relationship Id="rId38" Type="http://schemas.openxmlformats.org/officeDocument/2006/relationships/hyperlink" Target="https://www.sec.gov/Archives/edgar/data/320187/000032018726000088/0000320187-26-000088-index.htm" TargetMode="External"/><Relationship Id="rId39" Type="http://schemas.openxmlformats.org/officeDocument/2006/relationships/hyperlink" Target="https://www.sec.gov/Archives/edgar/data/320187/000032018726000088/0000320187-26-000088-index.htm" TargetMode="External"/><Relationship Id="rId40" Type="http://schemas.openxmlformats.org/officeDocument/2006/relationships/hyperlink" Target="https://www.sec.gov/Archives/edgar/data/320187/000032018726000088/0000320187-26-000088-index.htm" TargetMode="External"/><Relationship Id="rId41" Type="http://schemas.openxmlformats.org/officeDocument/2006/relationships/hyperlink" Target="https://www.sec.gov/Archives/edgar/data/320187/000032018720000047/0000320187-20-000047-index.htm" TargetMode="External"/><Relationship Id="rId42" Type="http://schemas.openxmlformats.org/officeDocument/2006/relationships/hyperlink" Target="https://www.sec.gov/Archives/edgar/data/320187/000032018721000028/0000320187-21-000028-index.htm" TargetMode="External"/><Relationship Id="rId43" Type="http://schemas.openxmlformats.org/officeDocument/2006/relationships/hyperlink" Target="https://www.sec.gov/Archives/edgar/data/320187/000032018722000038/0000320187-22-000038-index.htm" TargetMode="External"/><Relationship Id="rId44" Type="http://schemas.openxmlformats.org/officeDocument/2006/relationships/hyperlink" Target="https://www.sec.gov/Archives/edgar/data/320187/000032018723000039/0000320187-23-000039-index.htm" TargetMode="External"/><Relationship Id="rId45" Type="http://schemas.openxmlformats.org/officeDocument/2006/relationships/hyperlink" Target="https://www.sec.gov/Archives/edgar/data/320187/000032018724000044/0000320187-24-000044-index.htm" TargetMode="External"/><Relationship Id="rId46" Type="http://schemas.openxmlformats.org/officeDocument/2006/relationships/hyperlink" Target="https://www.sec.gov/Archives/edgar/data/320187/000032018725000047/0000320187-25-000047-index.htm" TargetMode="External"/><Relationship Id="rId47" Type="http://schemas.openxmlformats.org/officeDocument/2006/relationships/hyperlink" Target="https://www.sec.gov/Archives/edgar/data/320187/000032018726000088/0000320187-26-000088-index.htm" TargetMode="External"/><Relationship Id="rId48" Type="http://schemas.openxmlformats.org/officeDocument/2006/relationships/hyperlink" Target="https://www.sec.gov/Archives/edgar/data/320187/000032018726000088/0000320187-26-000088-index.htm" TargetMode="External"/><Relationship Id="rId49" Type="http://schemas.openxmlformats.org/officeDocument/2006/relationships/hyperlink" Target="https://www.sec.gov/Archives/edgar/data/320187/000032018720000047/0000320187-20-000047-index.htm" TargetMode="External"/><Relationship Id="rId50" Type="http://schemas.openxmlformats.org/officeDocument/2006/relationships/hyperlink" Target="https://www.sec.gov/Archives/edgar/data/320187/000032018721000028/0000320187-21-000028-index.htm" TargetMode="External"/><Relationship Id="rId51" Type="http://schemas.openxmlformats.org/officeDocument/2006/relationships/hyperlink" Target="https://www.sec.gov/Archives/edgar/data/320187/000032018722000038/0000320187-22-000038-index.htm" TargetMode="External"/><Relationship Id="rId52" Type="http://schemas.openxmlformats.org/officeDocument/2006/relationships/hyperlink" Target="https://www.sec.gov/Archives/edgar/data/320187/000032018723000039/0000320187-23-000039-index.htm" TargetMode="External"/><Relationship Id="rId53" Type="http://schemas.openxmlformats.org/officeDocument/2006/relationships/hyperlink" Target="https://www.sec.gov/Archives/edgar/data/320187/000032018724000044/0000320187-24-000044-index.htm" TargetMode="External"/><Relationship Id="rId54" Type="http://schemas.openxmlformats.org/officeDocument/2006/relationships/hyperlink" Target="https://www.sec.gov/Archives/edgar/data/320187/000032018725000047/0000320187-25-000047-index.htm" TargetMode="External"/><Relationship Id="rId55" Type="http://schemas.openxmlformats.org/officeDocument/2006/relationships/hyperlink" Target="https://www.sec.gov/Archives/edgar/data/320187/000032018726000088/0000320187-26-000088-index.htm" TargetMode="External"/><Relationship Id="rId56" Type="http://schemas.openxmlformats.org/officeDocument/2006/relationships/hyperlink" Target="https://www.sec.gov/Archives/edgar/data/320187/000032018726000088/0000320187-26-000088-index.htm" TargetMode="External"/><Relationship Id="rId57" Type="http://schemas.openxmlformats.org/officeDocument/2006/relationships/hyperlink" Target="https://www.sec.gov/Archives/edgar/data/320187/000032018725000047/0000320187-25-000047-index.htm" TargetMode="External"/><Relationship Id="rId58" Type="http://schemas.openxmlformats.org/officeDocument/2006/relationships/hyperlink" Target="https://www.sec.gov/Archives/edgar/data/320187/000032018726000088/0000320187-26-000088-index.htm" TargetMode="External"/><Relationship Id="rId59" Type="http://schemas.openxmlformats.org/officeDocument/2006/relationships/hyperlink" Target="https://www.sec.gov/Archives/edgar/data/320187/000032018726000088/0000320187-26-000088-index.htm" TargetMode="External"/><Relationship Id="rId60" Type="http://schemas.openxmlformats.org/officeDocument/2006/relationships/hyperlink" Target="https://www.sec.gov/Archives/edgar/data/320187/000032018726000088/0000320187-26-000088-index.htm" TargetMode="External"/><Relationship Id="rId61" Type="http://schemas.openxmlformats.org/officeDocument/2006/relationships/hyperlink" Target="https://www.sec.gov/Archives/edgar/data/320187/000032018721000028/0000320187-21-000028-index.htm" TargetMode="External"/><Relationship Id="rId62" Type="http://schemas.openxmlformats.org/officeDocument/2006/relationships/hyperlink" Target="https://www.sec.gov/Archives/edgar/data/320187/000032018722000038/0000320187-22-000038-index.htm" TargetMode="External"/><Relationship Id="rId63" Type="http://schemas.openxmlformats.org/officeDocument/2006/relationships/hyperlink" Target="https://www.sec.gov/Archives/edgar/data/320187/000032018723000039/0000320187-23-000039-index.htm" TargetMode="External"/><Relationship Id="rId64" Type="http://schemas.openxmlformats.org/officeDocument/2006/relationships/hyperlink" Target="https://www.sec.gov/Archives/edgar/data/320187/000032018724000044/0000320187-24-000044-index.htm" TargetMode="External"/><Relationship Id="rId65" Type="http://schemas.openxmlformats.org/officeDocument/2006/relationships/hyperlink" Target="https://www.sec.gov/Archives/edgar/data/320187/000032018724000044/0000320187-24-000044-index.htm" TargetMode="External"/><Relationship Id="rId66" Type="http://schemas.openxmlformats.org/officeDocument/2006/relationships/hyperlink" Target="https://www.sec.gov/Archives/edgar/data/320187/000032018724000044/0000320187-24-000044-index.htm" TargetMode="External"/><Relationship Id="rId67" Type="http://schemas.openxmlformats.org/officeDocument/2006/relationships/hyperlink" Target="https://www.sec.gov/Archives/edgar/data/320187/000032018721000028/0000320187-21-000028-index.htm" TargetMode="External"/><Relationship Id="rId68" Type="http://schemas.openxmlformats.org/officeDocument/2006/relationships/hyperlink" Target="https://www.sec.gov/Archives/edgar/data/320187/000032018722000038/0000320187-22-000038-index.htm" TargetMode="External"/><Relationship Id="rId69" Type="http://schemas.openxmlformats.org/officeDocument/2006/relationships/hyperlink" Target="https://www.sec.gov/Archives/edgar/data/320187/000032018723000039/0000320187-23-000039-index.htm" TargetMode="External"/><Relationship Id="rId70" Type="http://schemas.openxmlformats.org/officeDocument/2006/relationships/hyperlink" Target="https://www.sec.gov/Archives/edgar/data/320187/000032018724000044/0000320187-24-000044-index.htm" TargetMode="External"/><Relationship Id="rId71" Type="http://schemas.openxmlformats.org/officeDocument/2006/relationships/hyperlink" Target="https://www.sec.gov/Archives/edgar/data/320187/000032018725000047/0000320187-25-000047-index.htm" TargetMode="External"/><Relationship Id="rId72" Type="http://schemas.openxmlformats.org/officeDocument/2006/relationships/hyperlink" Target="https://www.sec.gov/Archives/edgar/data/320187/000032018726000088/0000320187-26-000088-index.htm" TargetMode="External"/><Relationship Id="rId73" Type="http://schemas.openxmlformats.org/officeDocument/2006/relationships/hyperlink" Target="https://www.sec.gov/Archives/edgar/data/320187/000032018726000088/0000320187-26-000088-index.htm" TargetMode="External"/><Relationship Id="rId74" Type="http://schemas.openxmlformats.org/officeDocument/2006/relationships/hyperlink" Target="https://www.sec.gov/Archives/edgar/data/320187/000032018726000088/0000320187-26-000088-index.htm" TargetMode="External"/><Relationship Id="rId75" Type="http://schemas.openxmlformats.org/officeDocument/2006/relationships/hyperlink" Target="https://www.sec.gov/Archives/edgar/data/320187/000032018721000028/0000320187-21-000028-index.htm" TargetMode="External"/><Relationship Id="rId76" Type="http://schemas.openxmlformats.org/officeDocument/2006/relationships/hyperlink" Target="https://www.sec.gov/Archives/edgar/data/320187/000032018722000038/0000320187-22-000038-index.htm" TargetMode="External"/><Relationship Id="rId77" Type="http://schemas.openxmlformats.org/officeDocument/2006/relationships/hyperlink" Target="https://www.sec.gov/Archives/edgar/data/320187/000032018723000039/0000320187-23-000039-index.htm" TargetMode="External"/><Relationship Id="rId78" Type="http://schemas.openxmlformats.org/officeDocument/2006/relationships/hyperlink" Target="https://www.sec.gov/Archives/edgar/data/320187/000032018724000044/0000320187-24-000044-index.htm" TargetMode="External"/><Relationship Id="rId79" Type="http://schemas.openxmlformats.org/officeDocument/2006/relationships/hyperlink" Target="https://www.sec.gov/Archives/edgar/data/320187/000032018725000047/0000320187-25-000047-index.htm" TargetMode="External"/><Relationship Id="rId80" Type="http://schemas.openxmlformats.org/officeDocument/2006/relationships/hyperlink" Target="https://www.sec.gov/Archives/edgar/data/320187/000032018726000088/0000320187-26-000088-index.htm" TargetMode="External"/><Relationship Id="rId81" Type="http://schemas.openxmlformats.org/officeDocument/2006/relationships/hyperlink" Target="https://www.sec.gov/Archives/edgar/data/320187/000032018726000088/0000320187-26-000088-index.htm" TargetMode="External"/><Relationship Id="rId82" Type="http://schemas.openxmlformats.org/officeDocument/2006/relationships/hyperlink" Target="https://www.sec.gov/Archives/edgar/data/320187/000032018726000088/0000320187-26-000088-index.htm" TargetMode="External"/><Relationship Id="rId83" Type="http://schemas.openxmlformats.org/officeDocument/2006/relationships/hyperlink" Target="https://www.sec.gov/Archives/edgar/data/320187/000032018721000028/0000320187-21-000028-index.htm" TargetMode="External"/><Relationship Id="rId84" Type="http://schemas.openxmlformats.org/officeDocument/2006/relationships/hyperlink" Target="https://www.sec.gov/Archives/edgar/data/320187/000032018722000038/0000320187-22-000038-index.htm" TargetMode="External"/><Relationship Id="rId85" Type="http://schemas.openxmlformats.org/officeDocument/2006/relationships/hyperlink" Target="https://www.sec.gov/Archives/edgar/data/320187/000032018723000039/0000320187-23-000039-index.htm" TargetMode="External"/><Relationship Id="rId86" Type="http://schemas.openxmlformats.org/officeDocument/2006/relationships/hyperlink" Target="https://www.sec.gov/Archives/edgar/data/320187/000032018724000044/0000320187-24-000044-index.htm" TargetMode="External"/><Relationship Id="rId87" Type="http://schemas.openxmlformats.org/officeDocument/2006/relationships/hyperlink" Target="https://www.sec.gov/Archives/edgar/data/320187/000032018725000047/0000320187-25-000047-index.htm" TargetMode="External"/><Relationship Id="rId88" Type="http://schemas.openxmlformats.org/officeDocument/2006/relationships/hyperlink" Target="https://www.sec.gov/Archives/edgar/data/320187/000032018726000088/0000320187-26-000088-index.htm" TargetMode="External"/><Relationship Id="rId89" Type="http://schemas.openxmlformats.org/officeDocument/2006/relationships/hyperlink" Target="https://www.sec.gov/Archives/edgar/data/320187/000032018726000088/0000320187-26-000088-index.htm" TargetMode="External"/><Relationship Id="rId90" Type="http://schemas.openxmlformats.org/officeDocument/2006/relationships/hyperlink" Target="https://www.sec.gov/Archives/edgar/data/320187/000032018726000088/0000320187-26-000088-index.htm" TargetMode="External"/><Relationship Id="rId91" Type="http://schemas.openxmlformats.org/officeDocument/2006/relationships/hyperlink" Target="https://www.sec.gov/Archives/edgar/data/320187/000032018722000038/0000320187-22-000038-index.htm" TargetMode="External"/><Relationship Id="rId92" Type="http://schemas.openxmlformats.org/officeDocument/2006/relationships/hyperlink" Target="https://www.sec.gov/Archives/edgar/data/320187/000032018723000039/0000320187-23-000039-index.htm" TargetMode="External"/><Relationship Id="rId93" Type="http://schemas.openxmlformats.org/officeDocument/2006/relationships/hyperlink" Target="https://www.sec.gov/Archives/edgar/data/320187/000032018724000044/0000320187-24-000044-index.htm" TargetMode="External"/><Relationship Id="rId94" Type="http://schemas.openxmlformats.org/officeDocument/2006/relationships/hyperlink" Target="https://www.sec.gov/Archives/edgar/data/320187/000032018725000047/0000320187-25-000047-index.htm" TargetMode="External"/><Relationship Id="rId95" Type="http://schemas.openxmlformats.org/officeDocument/2006/relationships/hyperlink" Target="https://www.sec.gov/Archives/edgar/data/320187/000032018726000088/0000320187-26-000088-index.htm" TargetMode="External"/><Relationship Id="rId96" Type="http://schemas.openxmlformats.org/officeDocument/2006/relationships/hyperlink" Target="https://www.sec.gov/Archives/edgar/data/320187/000032018726000088/0000320187-26-000088-index.htm" TargetMode="External"/><Relationship Id="rId97" Type="http://schemas.openxmlformats.org/officeDocument/2006/relationships/hyperlink" Target="https://www.sec.gov/Archives/edgar/data/320187/000032018726000088/0000320187-26-000088-index.htm" TargetMode="External"/><Relationship Id="rId98" Type="http://schemas.openxmlformats.org/officeDocument/2006/relationships/hyperlink" Target="https://www.sec.gov/Archives/edgar/data/320187/000032018726000088/0000320187-26-000088-index.htm" TargetMode="External"/><Relationship Id="rId99" Type="http://schemas.openxmlformats.org/officeDocument/2006/relationships/hyperlink" Target="https://www.sec.gov/Archives/edgar/data/320187/000032018720000047/0000320187-20-000047-index.htm" TargetMode="External"/><Relationship Id="rId100" Type="http://schemas.openxmlformats.org/officeDocument/2006/relationships/hyperlink" Target="https://www.sec.gov/Archives/edgar/data/320187/000032018721000028/0000320187-21-000028-index.htm" TargetMode="External"/><Relationship Id="rId101" Type="http://schemas.openxmlformats.org/officeDocument/2006/relationships/hyperlink" Target="https://www.sec.gov/Archives/edgar/data/320187/000032018722000038/0000320187-22-000038-index.htm" TargetMode="External"/><Relationship Id="rId102" Type="http://schemas.openxmlformats.org/officeDocument/2006/relationships/hyperlink" Target="https://www.sec.gov/Archives/edgar/data/320187/000032018723000039/0000320187-23-000039-index.htm" TargetMode="External"/><Relationship Id="rId103" Type="http://schemas.openxmlformats.org/officeDocument/2006/relationships/hyperlink" Target="https://www.sec.gov/Archives/edgar/data/320187/000032018724000044/0000320187-24-000044-index.htm" TargetMode="External"/><Relationship Id="rId104" Type="http://schemas.openxmlformats.org/officeDocument/2006/relationships/hyperlink" Target="https://www.sec.gov/Archives/edgar/data/320187/000032018725000047/0000320187-25-000047-index.htm" TargetMode="External"/><Relationship Id="rId105" Type="http://schemas.openxmlformats.org/officeDocument/2006/relationships/hyperlink" Target="https://www.sec.gov/Archives/edgar/data/320187/000032018726000088/0000320187-26-000088-index.htm" TargetMode="External"/><Relationship Id="rId106" Type="http://schemas.openxmlformats.org/officeDocument/2006/relationships/hyperlink" Target="https://www.sec.gov/Archives/edgar/data/320187/000032018726000088/0000320187-26-000088-index.htm" TargetMode="External"/><Relationship Id="rId107" Type="http://schemas.openxmlformats.org/officeDocument/2006/relationships/hyperlink" Target="https://www.sec.gov/Archives/edgar/data/320187/000032018721000028/0000320187-21-000028-index.htm" TargetMode="External"/><Relationship Id="rId108" Type="http://schemas.openxmlformats.org/officeDocument/2006/relationships/hyperlink" Target="https://www.sec.gov/Archives/edgar/data/320187/000032018722000038/0000320187-22-000038-index.htm" TargetMode="External"/><Relationship Id="rId109" Type="http://schemas.openxmlformats.org/officeDocument/2006/relationships/hyperlink" Target="https://www.sec.gov/Archives/edgar/data/320187/000032018723000039/0000320187-23-000039-index.htm" TargetMode="External"/><Relationship Id="rId110" Type="http://schemas.openxmlformats.org/officeDocument/2006/relationships/hyperlink" Target="https://www.sec.gov/Archives/edgar/data/320187/000032018724000044/0000320187-24-000044-index.htm" TargetMode="External"/><Relationship Id="rId111" Type="http://schemas.openxmlformats.org/officeDocument/2006/relationships/hyperlink" Target="https://www.sec.gov/Archives/edgar/data/320187/000032018725000047/0000320187-25-000047-index.htm" TargetMode="External"/><Relationship Id="rId112" Type="http://schemas.openxmlformats.org/officeDocument/2006/relationships/hyperlink" Target="https://www.sec.gov/Archives/edgar/data/320187/000032018726000088/0000320187-26-000088-index.htm" TargetMode="External"/><Relationship Id="rId113" Type="http://schemas.openxmlformats.org/officeDocument/2006/relationships/hyperlink" Target="https://www.sec.gov/Archives/edgar/data/320187/000032018726000088/0000320187-26-000088-index.htm" TargetMode="External"/><Relationship Id="rId114" Type="http://schemas.openxmlformats.org/officeDocument/2006/relationships/hyperlink" Target="https://www.sec.gov/Archives/edgar/data/320187/000032018726000088/0000320187-26-000088-index.htm" TargetMode="External"/><Relationship Id="rId115" Type="http://schemas.openxmlformats.org/officeDocument/2006/relationships/hyperlink" Target="https://www.sec.gov/Archives/edgar/data/320187/000032018721000028/0000320187-21-000028-index.htm" TargetMode="External"/><Relationship Id="rId116" Type="http://schemas.openxmlformats.org/officeDocument/2006/relationships/hyperlink" Target="https://www.sec.gov/Archives/edgar/data/320187/000032018722000038/0000320187-22-000038-index.htm" TargetMode="External"/><Relationship Id="rId117" Type="http://schemas.openxmlformats.org/officeDocument/2006/relationships/hyperlink" Target="https://www.sec.gov/Archives/edgar/data/320187/000032018723000039/0000320187-23-000039-index.htm" TargetMode="External"/><Relationship Id="rId118" Type="http://schemas.openxmlformats.org/officeDocument/2006/relationships/hyperlink" Target="https://www.sec.gov/Archives/edgar/data/320187/000032018724000044/0000320187-24-000044-index.htm" TargetMode="External"/><Relationship Id="rId119" Type="http://schemas.openxmlformats.org/officeDocument/2006/relationships/hyperlink" Target="https://www.sec.gov/Archives/edgar/data/320187/000032018725000047/0000320187-25-000047-index.htm" TargetMode="External"/><Relationship Id="rId120" Type="http://schemas.openxmlformats.org/officeDocument/2006/relationships/hyperlink" Target="https://www.sec.gov/Archives/edgar/data/320187/000032018726000088/0000320187-26-000088-index.htm" TargetMode="External"/><Relationship Id="rId121" Type="http://schemas.openxmlformats.org/officeDocument/2006/relationships/hyperlink" Target="https://www.sec.gov/Archives/edgar/data/320187/000032018726000088/0000320187-26-000088-index.htm" TargetMode="External"/><Relationship Id="rId122" Type="http://schemas.openxmlformats.org/officeDocument/2006/relationships/hyperlink" Target="https://www.sec.gov/Archives/edgar/data/320187/000032018726000088/0000320187-26-000088-index.htm" TargetMode="External"/><Relationship Id="rId123" Type="http://schemas.openxmlformats.org/officeDocument/2006/relationships/hyperlink" Target="https://www.sec.gov/Archives/edgar/data/320187/000032018721000028/0000320187-21-000028-index.htm" TargetMode="External"/><Relationship Id="rId124" Type="http://schemas.openxmlformats.org/officeDocument/2006/relationships/hyperlink" Target="https://www.sec.gov/Archives/edgar/data/320187/000032018722000038/0000320187-22-000038-index.htm" TargetMode="External"/><Relationship Id="rId125" Type="http://schemas.openxmlformats.org/officeDocument/2006/relationships/hyperlink" Target="https://www.sec.gov/Archives/edgar/data/320187/000032018723000039/0000320187-23-000039-index.htm" TargetMode="External"/><Relationship Id="rId126" Type="http://schemas.openxmlformats.org/officeDocument/2006/relationships/hyperlink" Target="https://www.sec.gov/Archives/edgar/data/320187/000032018724000044/0000320187-24-000044-index.htm" TargetMode="External"/><Relationship Id="rId127" Type="http://schemas.openxmlformats.org/officeDocument/2006/relationships/hyperlink" Target="https://www.sec.gov/Archives/edgar/data/320187/000032018725000047/0000320187-25-000047-index.htm" TargetMode="External"/><Relationship Id="rId128" Type="http://schemas.openxmlformats.org/officeDocument/2006/relationships/hyperlink" Target="https://www.sec.gov/Archives/edgar/data/320187/000032018726000088/0000320187-26-000088-index.htm" TargetMode="External"/><Relationship Id="rId129" Type="http://schemas.openxmlformats.org/officeDocument/2006/relationships/hyperlink" Target="https://www.sec.gov/Archives/edgar/data/320187/000032018726000088/0000320187-26-000088-index.htm" TargetMode="External"/><Relationship Id="rId130" Type="http://schemas.openxmlformats.org/officeDocument/2006/relationships/hyperlink" Target="https://www.sec.gov/Archives/edgar/data/320187/000032018726000088/0000320187-26-000088-index.htm" TargetMode="External"/><Relationship Id="rId131" Type="http://schemas.openxmlformats.org/officeDocument/2006/relationships/hyperlink" Target="https://www.sec.gov/Archives/edgar/data/320187/000032018720000047/0000320187-20-000047-index.htm" TargetMode="External"/><Relationship Id="rId132" Type="http://schemas.openxmlformats.org/officeDocument/2006/relationships/hyperlink" Target="https://www.sec.gov/Archives/edgar/data/320187/000032018721000028/0000320187-21-000028-index.htm" TargetMode="External"/><Relationship Id="rId133" Type="http://schemas.openxmlformats.org/officeDocument/2006/relationships/hyperlink" Target="https://www.sec.gov/Archives/edgar/data/320187/000032018722000038/0000320187-22-000038-index.htm" TargetMode="External"/><Relationship Id="rId134" Type="http://schemas.openxmlformats.org/officeDocument/2006/relationships/hyperlink" Target="https://www.sec.gov/Archives/edgar/data/320187/000032018723000039/0000320187-23-000039-index.htm" TargetMode="External"/><Relationship Id="rId135" Type="http://schemas.openxmlformats.org/officeDocument/2006/relationships/hyperlink" Target="https://www.sec.gov/Archives/edgar/data/320187/000032018725000047/0000320187-25-000047-index.htm" TargetMode="External"/><Relationship Id="rId136" Type="http://schemas.openxmlformats.org/officeDocument/2006/relationships/hyperlink" Target="https://www.sec.gov/Archives/edgar/data/320187/000032018726000088/0000320187-26-000088-index.htm" TargetMode="External"/><Relationship Id="rId137" Type="http://schemas.openxmlformats.org/officeDocument/2006/relationships/hyperlink" Target="https://www.sec.gov/Archives/edgar/data/320187/000032018726000088/0000320187-26-000088-index.htm" TargetMode="External"/><Relationship Id="rId138" Type="http://schemas.openxmlformats.org/officeDocument/2006/relationships/hyperlink" Target="https://www.sec.gov/Archives/edgar/data/320187/000032018726000088/0000320187-26-000088-index.htm" TargetMode="External"/><Relationship Id="rId139" Type="http://schemas.openxmlformats.org/officeDocument/2006/relationships/hyperlink" Target="https://www.sec.gov/Archives/edgar/data/320187/000032018720000047/0000320187-20-000047-index.htm" TargetMode="External"/><Relationship Id="rId140" Type="http://schemas.openxmlformats.org/officeDocument/2006/relationships/hyperlink" Target="https://www.sec.gov/Archives/edgar/data/320187/000032018721000028/0000320187-21-000028-index.htm" TargetMode="External"/><Relationship Id="rId141" Type="http://schemas.openxmlformats.org/officeDocument/2006/relationships/hyperlink" Target="https://www.sec.gov/Archives/edgar/data/320187/000032018722000038/0000320187-22-000038-index.htm" TargetMode="External"/><Relationship Id="rId142" Type="http://schemas.openxmlformats.org/officeDocument/2006/relationships/hyperlink" Target="https://www.sec.gov/Archives/edgar/data/320187/000032018723000039/0000320187-23-000039-index.htm" TargetMode="External"/><Relationship Id="rId143" Type="http://schemas.openxmlformats.org/officeDocument/2006/relationships/hyperlink" Target="https://www.sec.gov/Archives/edgar/data/320187/000032018724000044/0000320187-24-000044-index.htm" TargetMode="External"/><Relationship Id="rId144" Type="http://schemas.openxmlformats.org/officeDocument/2006/relationships/hyperlink" Target="https://www.sec.gov/Archives/edgar/data/320187/000032018725000047/0000320187-25-000047-index.htm" TargetMode="External"/><Relationship Id="rId145" Type="http://schemas.openxmlformats.org/officeDocument/2006/relationships/hyperlink" Target="https://www.sec.gov/Archives/edgar/data/320187/000032018726000088/0000320187-26-000088-index.htm" TargetMode="External"/><Relationship Id="rId146" Type="http://schemas.openxmlformats.org/officeDocument/2006/relationships/hyperlink" Target="https://www.sec.gov/Archives/edgar/data/320187/000032018726000088/0000320187-26-000088-index.htm" TargetMode="External"/><Relationship Id="rId147" Type="http://schemas.openxmlformats.org/officeDocument/2006/relationships/hyperlink" Target="https://www.sec.gov/Archives/edgar/data/320187/000032018720000047/0000320187-20-000047-index.htm" TargetMode="External"/><Relationship Id="rId148" Type="http://schemas.openxmlformats.org/officeDocument/2006/relationships/hyperlink" Target="https://www.sec.gov/Archives/edgar/data/320187/000032018721000028/0000320187-21-000028-index.htm" TargetMode="External"/><Relationship Id="rId149" Type="http://schemas.openxmlformats.org/officeDocument/2006/relationships/hyperlink" Target="https://www.sec.gov/Archives/edgar/data/320187/000032018722000038/0000320187-22-000038-index.htm" TargetMode="External"/><Relationship Id="rId150" Type="http://schemas.openxmlformats.org/officeDocument/2006/relationships/hyperlink" Target="https://www.sec.gov/Archives/edgar/data/320187/000032018723000039/0000320187-23-000039-index.htm" TargetMode="External"/><Relationship Id="rId151" Type="http://schemas.openxmlformats.org/officeDocument/2006/relationships/hyperlink" Target="https://www.sec.gov/Archives/edgar/data/320187/000032018724000044/0000320187-24-000044-index.htm" TargetMode="External"/><Relationship Id="rId152" Type="http://schemas.openxmlformats.org/officeDocument/2006/relationships/hyperlink" Target="https://www.sec.gov/Archives/edgar/data/320187/000032018725000047/0000320187-25-000047-index.htm" TargetMode="External"/><Relationship Id="rId153" Type="http://schemas.openxmlformats.org/officeDocument/2006/relationships/hyperlink" Target="https://www.sec.gov/Archives/edgar/data/320187/000032018726000088/0000320187-26-000088-index.htm" TargetMode="External"/><Relationship Id="rId154" Type="http://schemas.openxmlformats.org/officeDocument/2006/relationships/hyperlink" Target="https://www.sec.gov/Archives/edgar/data/320187/000032018726000088/0000320187-26-000088-index.htm" TargetMode="External"/><Relationship Id="rId155" Type="http://schemas.openxmlformats.org/officeDocument/2006/relationships/hyperlink" Target="https://www.sec.gov/Archives/edgar/data/320187/000032018720000047/0000320187-20-000047-index.htm" TargetMode="External"/><Relationship Id="rId156" Type="http://schemas.openxmlformats.org/officeDocument/2006/relationships/hyperlink" Target="https://www.sec.gov/Archives/edgar/data/320187/000032018721000028/0000320187-21-000028-index.htm" TargetMode="External"/><Relationship Id="rId157" Type="http://schemas.openxmlformats.org/officeDocument/2006/relationships/hyperlink" Target="https://www.sec.gov/Archives/edgar/data/320187/000032018722000038/0000320187-22-000038-index.htm" TargetMode="External"/><Relationship Id="rId158" Type="http://schemas.openxmlformats.org/officeDocument/2006/relationships/hyperlink" Target="https://www.sec.gov/Archives/edgar/data/320187/000032018723000039/0000320187-23-000039-index.htm" TargetMode="External"/><Relationship Id="rId159" Type="http://schemas.openxmlformats.org/officeDocument/2006/relationships/hyperlink" Target="https://www.sec.gov/Archives/edgar/data/320187/000032018724000044/0000320187-24-000044-index.htm" TargetMode="External"/><Relationship Id="rId160" Type="http://schemas.openxmlformats.org/officeDocument/2006/relationships/hyperlink" Target="https://www.sec.gov/Archives/edgar/data/320187/000032018725000047/0000320187-25-000047-index.htm" TargetMode="External"/><Relationship Id="rId161" Type="http://schemas.openxmlformats.org/officeDocument/2006/relationships/hyperlink" Target="https://www.sec.gov/Archives/edgar/data/320187/000032018726000088/0000320187-26-000088-index.htm" TargetMode="External"/><Relationship Id="rId162" Type="http://schemas.openxmlformats.org/officeDocument/2006/relationships/hyperlink" Target="https://www.sec.gov/Archives/edgar/data/320187/000032018726000088/0000320187-26-000088-index.htm" TargetMode="External"/><Relationship Id="rId163" Type="http://schemas.openxmlformats.org/officeDocument/2006/relationships/hyperlink" Target="https://www.sec.gov/Archives/edgar/data/320187/000032018721000028/0000320187-21-000028-index.htm" TargetMode="External"/><Relationship Id="rId164" Type="http://schemas.openxmlformats.org/officeDocument/2006/relationships/hyperlink" Target="https://www.sec.gov/Archives/edgar/data/320187/000032018722000038/0000320187-22-000038-index.htm" TargetMode="External"/><Relationship Id="rId165" Type="http://schemas.openxmlformats.org/officeDocument/2006/relationships/hyperlink" Target="https://www.sec.gov/Archives/edgar/data/320187/000032018723000039/0000320187-23-000039-index.htm" TargetMode="External"/><Relationship Id="rId166" Type="http://schemas.openxmlformats.org/officeDocument/2006/relationships/hyperlink" Target="https://www.sec.gov/Archives/edgar/data/320187/000032018724000044/0000320187-24-000044-index.htm" TargetMode="External"/><Relationship Id="rId167" Type="http://schemas.openxmlformats.org/officeDocument/2006/relationships/hyperlink" Target="https://www.sec.gov/Archives/edgar/data/320187/000032018725000047/0000320187-25-000047-index.htm" TargetMode="External"/><Relationship Id="rId168" Type="http://schemas.openxmlformats.org/officeDocument/2006/relationships/hyperlink" Target="https://www.sec.gov/Archives/edgar/data/320187/000032018726000088/0000320187-26-000088-index.htm" TargetMode="External"/><Relationship Id="rId169" Type="http://schemas.openxmlformats.org/officeDocument/2006/relationships/hyperlink" Target="https://www.sec.gov/Archives/edgar/data/320187/000032018726000088/0000320187-26-000088-index.htm" TargetMode="External"/><Relationship Id="rId170" Type="http://schemas.openxmlformats.org/officeDocument/2006/relationships/hyperlink" Target="https://www.sec.gov/Archives/edgar/data/320187/000032018726000088/0000320187-26-000088-index.htm" TargetMode="External"/><Relationship Id="rId171" Type="http://schemas.openxmlformats.org/officeDocument/2006/relationships/hyperlink" Target="https://www.sec.gov/Archives/edgar/data/320187/000032018720000047/0000320187-20-000047-index.htm" TargetMode="External"/><Relationship Id="rId172" Type="http://schemas.openxmlformats.org/officeDocument/2006/relationships/hyperlink" Target="https://www.sec.gov/Archives/edgar/data/320187/000032018721000028/0000320187-21-000028-index.htm" TargetMode="External"/><Relationship Id="rId173" Type="http://schemas.openxmlformats.org/officeDocument/2006/relationships/hyperlink" Target="https://www.sec.gov/Archives/edgar/data/320187/000032018722000038/0000320187-22-000038-index.htm" TargetMode="External"/><Relationship Id="rId174" Type="http://schemas.openxmlformats.org/officeDocument/2006/relationships/hyperlink" Target="https://www.sec.gov/Archives/edgar/data/320187/000032018723000039/0000320187-23-000039-index.htm" TargetMode="External"/><Relationship Id="rId175" Type="http://schemas.openxmlformats.org/officeDocument/2006/relationships/hyperlink" Target="https://www.sec.gov/Archives/edgar/data/320187/000032018724000044/0000320187-24-000044-index.htm" TargetMode="External"/><Relationship Id="rId176" Type="http://schemas.openxmlformats.org/officeDocument/2006/relationships/hyperlink" Target="https://www.sec.gov/Archives/edgar/data/320187/000032018725000047/0000320187-25-000047-index.htm" TargetMode="External"/><Relationship Id="rId177" Type="http://schemas.openxmlformats.org/officeDocument/2006/relationships/hyperlink" Target="https://www.sec.gov/Archives/edgar/data/320187/000032018726000088/0000320187-26-000088-index.htm" TargetMode="External"/><Relationship Id="rId178" Type="http://schemas.openxmlformats.org/officeDocument/2006/relationships/hyperlink" Target="https://www.sec.gov/Archives/edgar/data/320187/000032018726000088/0000320187-26-000088-index.htm" TargetMode="External"/><Relationship Id="rId179" Type="http://schemas.openxmlformats.org/officeDocument/2006/relationships/hyperlink" Target="https://www.sec.gov/Archives/edgar/data/320187/000032018720000047/0000320187-20-000047-index.htm" TargetMode="External"/><Relationship Id="rId180" Type="http://schemas.openxmlformats.org/officeDocument/2006/relationships/hyperlink" Target="https://www.sec.gov/Archives/edgar/data/320187/000032018721000028/0000320187-21-000028-index.htm" TargetMode="External"/><Relationship Id="rId181" Type="http://schemas.openxmlformats.org/officeDocument/2006/relationships/hyperlink" Target="https://www.sec.gov/Archives/edgar/data/320187/000032018722000038/0000320187-22-000038-index.htm" TargetMode="External"/><Relationship Id="rId182" Type="http://schemas.openxmlformats.org/officeDocument/2006/relationships/hyperlink" Target="https://www.sec.gov/Archives/edgar/data/320187/000032018723000039/0000320187-23-000039-index.htm" TargetMode="External"/><Relationship Id="rId183" Type="http://schemas.openxmlformats.org/officeDocument/2006/relationships/hyperlink" Target="https://www.sec.gov/Archives/edgar/data/320187/000032018724000044/0000320187-24-000044-index.htm" TargetMode="External"/><Relationship Id="rId184" Type="http://schemas.openxmlformats.org/officeDocument/2006/relationships/hyperlink" Target="https://www.sec.gov/Archives/edgar/data/320187/000032018725000047/0000320187-25-000047-index.htm" TargetMode="External"/><Relationship Id="rId185" Type="http://schemas.openxmlformats.org/officeDocument/2006/relationships/hyperlink" Target="https://www.sec.gov/Archives/edgar/data/320187/000032018726000088/0000320187-26-000088-index.htm" TargetMode="External"/><Relationship Id="rId186" Type="http://schemas.openxmlformats.org/officeDocument/2006/relationships/hyperlink" Target="https://www.sec.gov/Archives/edgar/data/320187/000032018726000088/0000320187-26-000088-index.htm" TargetMode="External"/><Relationship Id="rId187" Type="http://schemas.openxmlformats.org/officeDocument/2006/relationships/hyperlink" Target="https://www.sec.gov/Archives/edgar/data/320187/000032018721000028/0000320187-21-000028-index.htm" TargetMode="External"/><Relationship Id="rId188" Type="http://schemas.openxmlformats.org/officeDocument/2006/relationships/hyperlink" Target="https://www.sec.gov/Archives/edgar/data/320187/000032018722000038/0000320187-22-000038-index.htm" TargetMode="External"/><Relationship Id="rId189" Type="http://schemas.openxmlformats.org/officeDocument/2006/relationships/hyperlink" Target="https://www.sec.gov/Archives/edgar/data/320187/000032018723000039/0000320187-23-000039-index.htm" TargetMode="External"/><Relationship Id="rId190" Type="http://schemas.openxmlformats.org/officeDocument/2006/relationships/hyperlink" Target="https://www.sec.gov/Archives/edgar/data/320187/000032018724000044/0000320187-24-000044-index.htm" TargetMode="External"/><Relationship Id="rId191" Type="http://schemas.openxmlformats.org/officeDocument/2006/relationships/hyperlink" Target="https://www.sec.gov/Archives/edgar/data/320187/000032018725000047/0000320187-25-000047-index.htm" TargetMode="External"/><Relationship Id="rId192" Type="http://schemas.openxmlformats.org/officeDocument/2006/relationships/hyperlink" Target="https://www.sec.gov/Archives/edgar/data/320187/000032018726000088/0000320187-26-000088-index.htm" TargetMode="External"/><Relationship Id="rId193" Type="http://schemas.openxmlformats.org/officeDocument/2006/relationships/hyperlink" Target="https://www.sec.gov/Archives/edgar/data/320187/000032018726000088/0000320187-26-000088-index.htm" TargetMode="External"/><Relationship Id="rId194" Type="http://schemas.openxmlformats.org/officeDocument/2006/relationships/hyperlink" Target="https://www.sec.gov/Archives/edgar/data/320187/000032018726000088/0000320187-26-000088-index.htm" TargetMode="External"/><Relationship Id="rId195" Type="http://schemas.openxmlformats.org/officeDocument/2006/relationships/hyperlink" Target="https://www.sec.gov/Archives/edgar/data/320187/000032018720000047/0000320187-20-000047-index.htm" TargetMode="External"/><Relationship Id="rId196" Type="http://schemas.openxmlformats.org/officeDocument/2006/relationships/hyperlink" Target="https://www.sec.gov/Archives/edgar/data/320187/000032018721000028/0000320187-21-000028-index.htm" TargetMode="External"/><Relationship Id="rId197" Type="http://schemas.openxmlformats.org/officeDocument/2006/relationships/hyperlink" Target="https://www.sec.gov/Archives/edgar/data/320187/000032018722000038/0000320187-22-000038-index.htm" TargetMode="External"/><Relationship Id="rId198" Type="http://schemas.openxmlformats.org/officeDocument/2006/relationships/hyperlink" Target="https://www.sec.gov/Archives/edgar/data/320187/000032018723000039/0000320187-23-000039-index.htm" TargetMode="External"/><Relationship Id="rId199" Type="http://schemas.openxmlformats.org/officeDocument/2006/relationships/hyperlink" Target="https://www.sec.gov/Archives/edgar/data/320187/000032018724000044/0000320187-24-000044-index.htm" TargetMode="External"/><Relationship Id="rId200" Type="http://schemas.openxmlformats.org/officeDocument/2006/relationships/hyperlink" Target="https://www.sec.gov/Archives/edgar/data/320187/000032018725000047/0000320187-25-000047-index.htm" TargetMode="External"/><Relationship Id="rId201" Type="http://schemas.openxmlformats.org/officeDocument/2006/relationships/hyperlink" Target="https://www.sec.gov/Archives/edgar/data/320187/000032018726000088/0000320187-26-000088-index.htm" TargetMode="External"/><Relationship Id="rId202" Type="http://schemas.openxmlformats.org/officeDocument/2006/relationships/hyperlink" Target="https://www.sec.gov/Archives/edgar/data/320187/000032018726000088/0000320187-26-000088-index.htm" TargetMode="External"/><Relationship Id="rId203" Type="http://schemas.openxmlformats.org/officeDocument/2006/relationships/hyperlink" Target="https://www.sec.gov/Archives/edgar/data/320187/000032018721000028/0000320187-21-000028-index.htm" TargetMode="External"/><Relationship Id="rId204" Type="http://schemas.openxmlformats.org/officeDocument/2006/relationships/hyperlink" Target="https://www.sec.gov/Archives/edgar/data/320187/000032018722000038/0000320187-22-000038-index.htm" TargetMode="External"/><Relationship Id="rId205" Type="http://schemas.openxmlformats.org/officeDocument/2006/relationships/hyperlink" Target="https://www.sec.gov/Archives/edgar/data/320187/000032018723000039/0000320187-23-000039-index.htm" TargetMode="External"/><Relationship Id="rId206" Type="http://schemas.openxmlformats.org/officeDocument/2006/relationships/hyperlink" Target="https://www.sec.gov/Archives/edgar/data/320187/000032018724000044/0000320187-24-000044-index.htm" TargetMode="External"/><Relationship Id="rId207" Type="http://schemas.openxmlformats.org/officeDocument/2006/relationships/hyperlink" Target="https://www.sec.gov/Archives/edgar/data/320187/000032018725000047/0000320187-25-000047-index.htm" TargetMode="External"/><Relationship Id="rId208" Type="http://schemas.openxmlformats.org/officeDocument/2006/relationships/hyperlink" Target="https://www.sec.gov/Archives/edgar/data/320187/000032018726000088/0000320187-26-000088-index.htm" TargetMode="External"/><Relationship Id="rId209" Type="http://schemas.openxmlformats.org/officeDocument/2006/relationships/hyperlink" Target="https://www.sec.gov/Archives/edgar/data/320187/000032018726000088/0000320187-26-000088-index.htm" TargetMode="External"/><Relationship Id="rId210" Type="http://schemas.openxmlformats.org/officeDocument/2006/relationships/hyperlink" Target="https://www.sec.gov/Archives/edgar/data/320187/000032018726000088/0000320187-26-000088-index.htm" TargetMode="External"/><Relationship Id="rId211" Type="http://schemas.openxmlformats.org/officeDocument/2006/relationships/hyperlink" Target="https://www.sec.gov/Archives/edgar/data/320187/000032018721000028/0000320187-21-000028-index.htm" TargetMode="External"/><Relationship Id="rId212" Type="http://schemas.openxmlformats.org/officeDocument/2006/relationships/hyperlink" Target="https://www.sec.gov/Archives/edgar/data/320187/000032018722000038/0000320187-22-000038-index.htm" TargetMode="External"/><Relationship Id="rId213" Type="http://schemas.openxmlformats.org/officeDocument/2006/relationships/hyperlink" Target="https://www.sec.gov/Archives/edgar/data/320187/000032018723000039/0000320187-23-000039-index.htm" TargetMode="External"/><Relationship Id="rId214" Type="http://schemas.openxmlformats.org/officeDocument/2006/relationships/hyperlink" Target="https://www.sec.gov/Archives/edgar/data/320187/000032018724000044/0000320187-24-000044-index.htm" TargetMode="External"/><Relationship Id="rId215" Type="http://schemas.openxmlformats.org/officeDocument/2006/relationships/hyperlink" Target="https://www.sec.gov/Archives/edgar/data/320187/000032018725000047/0000320187-25-000047-index.htm" TargetMode="External"/><Relationship Id="rId216" Type="http://schemas.openxmlformats.org/officeDocument/2006/relationships/hyperlink" Target="https://www.sec.gov/Archives/edgar/data/320187/000032018726000088/0000320187-26-000088-index.htm" TargetMode="External"/><Relationship Id="rId217" Type="http://schemas.openxmlformats.org/officeDocument/2006/relationships/hyperlink" Target="https://www.sec.gov/Archives/edgar/data/320187/000032018726000088/0000320187-26-000088-index.htm" TargetMode="External"/><Relationship Id="rId218" Type="http://schemas.openxmlformats.org/officeDocument/2006/relationships/hyperlink" Target="https://www.sec.gov/Archives/edgar/data/320187/000032018726000088/0000320187-26-000088-index.htm" TargetMode="External"/><Relationship Id="rId219" Type="http://schemas.openxmlformats.org/officeDocument/2006/relationships/hyperlink" Target="https://www.sec.gov/Archives/edgar/data/320187/000032018721000028/0000320187-21-000028-index.htm" TargetMode="External"/><Relationship Id="rId220" Type="http://schemas.openxmlformats.org/officeDocument/2006/relationships/hyperlink" Target="https://www.sec.gov/Archives/edgar/data/320187/000032018722000038/0000320187-22-000038-index.htm" TargetMode="External"/><Relationship Id="rId221" Type="http://schemas.openxmlformats.org/officeDocument/2006/relationships/hyperlink" Target="https://www.sec.gov/Archives/edgar/data/320187/000032018723000039/0000320187-23-000039-index.htm" TargetMode="External"/><Relationship Id="rId222" Type="http://schemas.openxmlformats.org/officeDocument/2006/relationships/hyperlink" Target="https://www.sec.gov/Archives/edgar/data/320187/000032018724000044/0000320187-24-000044-index.htm" TargetMode="External"/><Relationship Id="rId223" Type="http://schemas.openxmlformats.org/officeDocument/2006/relationships/hyperlink" Target="https://www.sec.gov/Archives/edgar/data/320187/000032018725000047/0000320187-25-000047-index.htm" TargetMode="External"/><Relationship Id="rId224" Type="http://schemas.openxmlformats.org/officeDocument/2006/relationships/hyperlink" Target="https://www.sec.gov/Archives/edgar/data/320187/000032018726000088/0000320187-26-000088-index.htm" TargetMode="External"/><Relationship Id="rId225" Type="http://schemas.openxmlformats.org/officeDocument/2006/relationships/hyperlink" Target="https://www.sec.gov/Archives/edgar/data/320187/000032018726000088/0000320187-26-000088-index.htm" TargetMode="External"/><Relationship Id="rId226" Type="http://schemas.openxmlformats.org/officeDocument/2006/relationships/hyperlink" Target="https://www.sec.gov/Archives/edgar/data/320187/000032018726000088/0000320187-26-000088-index.htm" TargetMode="External"/><Relationship Id="rId227" Type="http://schemas.openxmlformats.org/officeDocument/2006/relationships/hyperlink" Target="https://www.sec.gov/Archives/edgar/data/320187/000032018720000047/0000320187-20-000047-index.htm" TargetMode="External"/><Relationship Id="rId228" Type="http://schemas.openxmlformats.org/officeDocument/2006/relationships/hyperlink" Target="https://www.sec.gov/Archives/edgar/data/320187/000032018721000028/0000320187-21-000028-index.htm" TargetMode="External"/><Relationship Id="rId229" Type="http://schemas.openxmlformats.org/officeDocument/2006/relationships/hyperlink" Target="https://www.sec.gov/Archives/edgar/data/320187/000032018722000038/0000320187-22-000038-index.htm" TargetMode="External"/><Relationship Id="rId230" Type="http://schemas.openxmlformats.org/officeDocument/2006/relationships/hyperlink" Target="https://www.sec.gov/Archives/edgar/data/320187/000032018723000039/0000320187-23-000039-index.htm" TargetMode="External"/><Relationship Id="rId231" Type="http://schemas.openxmlformats.org/officeDocument/2006/relationships/hyperlink" Target="https://www.sec.gov/Archives/edgar/data/320187/000032018724000044/0000320187-24-000044-index.htm" TargetMode="External"/><Relationship Id="rId232" Type="http://schemas.openxmlformats.org/officeDocument/2006/relationships/hyperlink" Target="https://www.sec.gov/Archives/edgar/data/320187/000032018725000047/0000320187-25-000047-index.htm" TargetMode="External"/><Relationship Id="rId233" Type="http://schemas.openxmlformats.org/officeDocument/2006/relationships/hyperlink" Target="https://www.sec.gov/Archives/edgar/data/320187/000032018725000047/0000320187-25-000047-index.htm" TargetMode="External"/><Relationship Id="rId234" Type="http://schemas.openxmlformats.org/officeDocument/2006/relationships/hyperlink" Target="https://www.sec.gov/Archives/edgar/data/320187/000032018720000047/0000320187-20-000047-index.htm" TargetMode="External"/><Relationship Id="rId235" Type="http://schemas.openxmlformats.org/officeDocument/2006/relationships/hyperlink" Target="https://www.sec.gov/Archives/edgar/data/320187/000032018721000028/0000320187-21-000028-index.htm" TargetMode="External"/><Relationship Id="rId236" Type="http://schemas.openxmlformats.org/officeDocument/2006/relationships/hyperlink" Target="https://www.sec.gov/Archives/edgar/data/320187/000032018721000028/0000320187-21-000028-index.htm" TargetMode="External"/><Relationship Id="rId237" Type="http://schemas.openxmlformats.org/officeDocument/2006/relationships/hyperlink" Target="https://www.sec.gov/Archives/edgar/data/320187/000032018723000039/0000320187-23-000039-index.htm" TargetMode="External"/><Relationship Id="rId238" Type="http://schemas.openxmlformats.org/officeDocument/2006/relationships/hyperlink" Target="https://www.sec.gov/Archives/edgar/data/320187/000032018724000044/0000320187-24-000044-index.htm" TargetMode="External"/><Relationship Id="rId239" Type="http://schemas.openxmlformats.org/officeDocument/2006/relationships/hyperlink" Target="https://www.sec.gov/Archives/edgar/data/320187/000032018725000047/0000320187-25-000047-index.htm" TargetMode="External"/><Relationship Id="rId240" Type="http://schemas.openxmlformats.org/officeDocument/2006/relationships/hyperlink" Target="https://www.sec.gov/Archives/edgar/data/320187/000032018726000088/0000320187-26-000088-index.htm" TargetMode="External"/><Relationship Id="rId241" Type="http://schemas.openxmlformats.org/officeDocument/2006/relationships/hyperlink" Target="https://www.sec.gov/Archives/edgar/data/320187/000032018726000088/0000320187-26-000088-index.htm" TargetMode="External"/><Relationship Id="rId242" Type="http://schemas.openxmlformats.org/officeDocument/2006/relationships/hyperlink" Target="https://www.sec.gov/Archives/edgar/data/320187/000032018720000047/0000320187-20-000047-index.htm" TargetMode="External"/><Relationship Id="rId243" Type="http://schemas.openxmlformats.org/officeDocument/2006/relationships/hyperlink" Target="https://www.sec.gov/Archives/edgar/data/320187/000032018721000028/0000320187-21-000028-index.htm" TargetMode="External"/><Relationship Id="rId244" Type="http://schemas.openxmlformats.org/officeDocument/2006/relationships/hyperlink" Target="https://www.sec.gov/Archives/edgar/data/320187/000032018722000038/0000320187-22-000038-index.htm" TargetMode="External"/><Relationship Id="rId245" Type="http://schemas.openxmlformats.org/officeDocument/2006/relationships/hyperlink" Target="https://www.sec.gov/Archives/edgar/data/320187/000032018723000039/0000320187-23-000039-index.htm" TargetMode="External"/><Relationship Id="rId246" Type="http://schemas.openxmlformats.org/officeDocument/2006/relationships/hyperlink" Target="https://www.sec.gov/Archives/edgar/data/320187/000032018724000044/0000320187-24-000044-index.htm" TargetMode="External"/><Relationship Id="rId247" Type="http://schemas.openxmlformats.org/officeDocument/2006/relationships/hyperlink" Target="https://www.sec.gov/Archives/edgar/data/320187/000032018725000047/0000320187-25-000047-index.htm" TargetMode="External"/><Relationship Id="rId248" Type="http://schemas.openxmlformats.org/officeDocument/2006/relationships/hyperlink" Target="https://www.sec.gov/Archives/edgar/data/320187/000032018726000088/0000320187-26-000088-index.htm" TargetMode="External"/><Relationship Id="rId249" Type="http://schemas.openxmlformats.org/officeDocument/2006/relationships/hyperlink" Target="https://www.sec.gov/Archives/edgar/data/320187/000032018726000088/0000320187-26-000088-index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2:C27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60"/>
  </cols>
  <sheetData>
    <row r="2" customFormat="false" ht="15" hidden="false" customHeight="false" outlineLevel="0" collapsed="false">
      <c r="B2" s="1" t="s">
        <v>0</v>
      </c>
    </row>
    <row r="4" customFormat="false" ht="22.0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str">
        <f aca="false">Valuation!$C$20</f>
        <v>HOLD</v>
      </c>
    </row>
    <row r="8" customFormat="false" ht="15" hidden="false" customHeight="false" outlineLevel="0" collapsed="false">
      <c r="B8" s="4" t="s">
        <v>4</v>
      </c>
      <c r="C8" s="6" t="n">
        <f aca="false">Valuation!$C$17</f>
        <v>32.8053411113323</v>
      </c>
    </row>
    <row r="9" customFormat="false" ht="15" hidden="false" customHeight="false" outlineLevel="0" collapsed="false">
      <c r="B9" s="4" t="s">
        <v>5</v>
      </c>
      <c r="C9" s="6" t="n">
        <f aca="false">Assumptions!$C$17</f>
        <v>33.8699989318848</v>
      </c>
    </row>
    <row r="10" customFormat="false" ht="15" hidden="false" customHeight="false" outlineLevel="0" collapsed="false">
      <c r="B10" s="4" t="s">
        <v>6</v>
      </c>
      <c r="C10" s="7" t="n">
        <f aca="false">Valuation!$C$19</f>
        <v>-0.0314336537976743</v>
      </c>
    </row>
    <row r="11" customFormat="false" ht="15" hidden="false" customHeight="false" outlineLevel="0" collapsed="false">
      <c r="B11" s="4" t="s">
        <v>7</v>
      </c>
      <c r="C11" s="8" t="n">
        <f aca="false">Assumptions!$C$23</f>
        <v>50269.8524147034</v>
      </c>
    </row>
    <row r="12" customFormat="false" ht="15" hidden="false" customHeight="false" outlineLevel="0" collapsed="false">
      <c r="B12" s="4" t="s">
        <v>8</v>
      </c>
      <c r="C12" s="8" t="n">
        <f aca="false">Assumptions!$C$23+Assumptions!$C$22</f>
        <v>49794.8524147034</v>
      </c>
    </row>
    <row r="13" customFormat="false" ht="15" hidden="false" customHeight="false" outlineLevel="0" collapsed="false">
      <c r="B13" s="4" t="s">
        <v>9</v>
      </c>
      <c r="C13" s="7" t="n">
        <f aca="false">WACC!$C$25</f>
        <v>0.0920255487524828</v>
      </c>
    </row>
    <row r="14" customFormat="false" ht="15" hidden="false" customHeight="false" outlineLevel="0" collapsed="false">
      <c r="B14" s="4" t="s">
        <v>10</v>
      </c>
      <c r="C14" s="6" t="n">
        <f aca="false">DCF!$C$32</f>
        <v>35.5707455951035</v>
      </c>
    </row>
    <row r="15" customFormat="false" ht="15" hidden="false" customHeight="false" outlineLevel="0" collapsed="false">
      <c r="B15" s="4" t="s">
        <v>11</v>
      </c>
      <c r="C15" s="6" t="n">
        <f aca="false">DCF!$C$42</f>
        <v>32.9903024812248</v>
      </c>
    </row>
    <row r="18" customFormat="false" ht="15" hidden="false" customHeight="false" outlineLevel="0" collapsed="false">
      <c r="B18" s="9" t="s">
        <v>12</v>
      </c>
    </row>
    <row r="19" customFormat="false" ht="15" hidden="false" customHeight="false" outlineLevel="0" collapsed="false">
      <c r="B19" s="10" t="s">
        <v>13</v>
      </c>
    </row>
    <row r="20" customFormat="false" ht="15" hidden="false" customHeight="false" outlineLevel="0" collapsed="false">
      <c r="B20" s="10" t="s">
        <v>14</v>
      </c>
    </row>
    <row r="21" customFormat="false" ht="15" hidden="false" customHeight="false" outlineLevel="0" collapsed="false">
      <c r="B21" s="10" t="s">
        <v>15</v>
      </c>
    </row>
    <row r="22" customFormat="false" ht="15" hidden="false" customHeight="false" outlineLevel="0" collapsed="false">
      <c r="B22" s="10" t="s">
        <v>16</v>
      </c>
    </row>
    <row r="23" customFormat="false" ht="15" hidden="false" customHeight="false" outlineLevel="0" collapsed="false">
      <c r="B23" s="10" t="s">
        <v>17</v>
      </c>
    </row>
    <row r="27" customFormat="false" ht="15" hidden="false" customHeight="false" outlineLevel="0" collapsed="false">
      <c r="B27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H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35" hidden="false" customHeight="false" outlineLevel="0" collapsed="false">
      <c r="B1" s="12" t="s">
        <v>19</v>
      </c>
    </row>
    <row r="2" customFormat="false" ht="15" hidden="false" customHeight="false" outlineLevel="0" collapsed="false">
      <c r="B2" s="3" t="s">
        <v>20</v>
      </c>
    </row>
    <row r="3" customFormat="false" ht="15" hidden="false" customHeight="false" outlineLevel="0" collapsed="false">
      <c r="B3" s="9" t="s">
        <v>21</v>
      </c>
    </row>
    <row r="4" customFormat="false" ht="15" hidden="false" customHeight="false" outlineLevel="0" collapsed="false">
      <c r="B4" s="10" t="s">
        <v>22</v>
      </c>
      <c r="C4" s="13" t="n">
        <v>1</v>
      </c>
    </row>
    <row r="6" customFormat="false" ht="15" hidden="false" customHeight="false" outlineLevel="0" collapsed="false">
      <c r="B6" s="9" t="s">
        <v>23</v>
      </c>
    </row>
    <row r="7" customFormat="false" ht="15" hidden="false" customHeight="false" outlineLevel="0" collapsed="false">
      <c r="B7" s="10" t="s">
        <v>24</v>
      </c>
      <c r="C7" s="14" t="n">
        <v>0.0524</v>
      </c>
      <c r="H7" s="3" t="s">
        <v>25</v>
      </c>
    </row>
    <row r="8" customFormat="false" ht="15" hidden="false" customHeight="false" outlineLevel="0" collapsed="false">
      <c r="B8" s="10" t="s">
        <v>26</v>
      </c>
      <c r="C8" s="15" t="n">
        <v>0.045</v>
      </c>
      <c r="H8" s="3" t="s">
        <v>27</v>
      </c>
    </row>
    <row r="9" customFormat="false" ht="15" hidden="false" customHeight="false" outlineLevel="0" collapsed="false">
      <c r="B9" s="10" t="s">
        <v>28</v>
      </c>
      <c r="C9" s="14" t="n">
        <v>0.25</v>
      </c>
      <c r="H9" s="3" t="s">
        <v>29</v>
      </c>
    </row>
    <row r="10" customFormat="false" ht="15" hidden="false" customHeight="false" outlineLevel="0" collapsed="false">
      <c r="B10" s="10" t="s">
        <v>30</v>
      </c>
      <c r="C10" s="14" t="n">
        <v>0.006</v>
      </c>
      <c r="H10" s="3" t="s">
        <v>31</v>
      </c>
    </row>
    <row r="11" customFormat="false" ht="15" hidden="false" customHeight="false" outlineLevel="0" collapsed="false">
      <c r="B11" s="10" t="s">
        <v>32</v>
      </c>
      <c r="C11" s="15" t="n">
        <v>0.025</v>
      </c>
      <c r="H11" s="3" t="s">
        <v>33</v>
      </c>
    </row>
    <row r="12" customFormat="false" ht="15" hidden="false" customHeight="false" outlineLevel="0" collapsed="false">
      <c r="B12" s="10" t="s">
        <v>34</v>
      </c>
      <c r="C12" s="16" t="n">
        <v>8.74369298913263</v>
      </c>
      <c r="H12" s="3" t="s">
        <v>35</v>
      </c>
    </row>
    <row r="13" customFormat="false" ht="15" hidden="false" customHeight="false" outlineLevel="0" collapsed="false">
      <c r="B13" s="10" t="s">
        <v>36</v>
      </c>
      <c r="C13" s="14" t="n">
        <v>0.02</v>
      </c>
      <c r="H13" s="3" t="s">
        <v>37</v>
      </c>
    </row>
    <row r="14" customFormat="false" ht="15" hidden="false" customHeight="false" outlineLevel="0" collapsed="false">
      <c r="B14" s="10" t="s">
        <v>38</v>
      </c>
      <c r="C14" s="17" t="n">
        <v>1</v>
      </c>
      <c r="H14" s="3" t="s">
        <v>39</v>
      </c>
    </row>
    <row r="16" customFormat="false" ht="15" hidden="false" customHeight="false" outlineLevel="0" collapsed="false">
      <c r="B16" s="9" t="s">
        <v>40</v>
      </c>
    </row>
    <row r="17" customFormat="false" ht="15" hidden="false" customHeight="false" outlineLevel="0" collapsed="false">
      <c r="B17" s="10" t="s">
        <v>41</v>
      </c>
      <c r="C17" s="18" t="n">
        <v>33.8699989318848</v>
      </c>
      <c r="H17" s="3" t="s">
        <v>42</v>
      </c>
    </row>
    <row r="18" customFormat="false" ht="15" hidden="false" customHeight="false" outlineLevel="0" collapsed="false">
      <c r="B18" s="10" t="s">
        <v>43</v>
      </c>
      <c r="C18" s="19" t="n">
        <v>1484.2</v>
      </c>
      <c r="H18" s="3" t="s">
        <v>44</v>
      </c>
    </row>
    <row r="19" customFormat="false" ht="15" hidden="false" customHeight="false" outlineLevel="0" collapsed="false">
      <c r="B19" s="10" t="s">
        <v>45</v>
      </c>
      <c r="C19" s="20" t="n">
        <v>6903</v>
      </c>
      <c r="H19" s="3" t="s">
        <v>46</v>
      </c>
    </row>
    <row r="20" customFormat="false" ht="15" hidden="false" customHeight="false" outlineLevel="0" collapsed="false">
      <c r="B20" s="10" t="s">
        <v>47</v>
      </c>
      <c r="C20" s="20" t="n">
        <v>1465</v>
      </c>
      <c r="H20" s="3" t="s">
        <v>46</v>
      </c>
    </row>
    <row r="21" customFormat="false" ht="15" hidden="false" customHeight="false" outlineLevel="0" collapsed="false">
      <c r="B21" s="10" t="s">
        <v>48</v>
      </c>
      <c r="C21" s="20" t="n">
        <v>7893</v>
      </c>
      <c r="H21" s="3" t="s">
        <v>49</v>
      </c>
    </row>
    <row r="22" customFormat="false" ht="15" hidden="false" customHeight="false" outlineLevel="0" collapsed="false">
      <c r="B22" s="21" t="s">
        <v>50</v>
      </c>
      <c r="C22" s="22" t="n">
        <f aca="false">Assumptions!$C$21-Assumptions!$C$19-Assumptions!$C$20</f>
        <v>-475</v>
      </c>
    </row>
    <row r="23" customFormat="false" ht="15" hidden="false" customHeight="false" outlineLevel="0" collapsed="false">
      <c r="B23" s="21" t="s">
        <v>51</v>
      </c>
      <c r="C23" s="22" t="n">
        <f aca="false">Assumptions!$C$17*Assumptions!$C$18</f>
        <v>50269.8524147034</v>
      </c>
    </row>
    <row r="25" customFormat="false" ht="15" hidden="false" customHeight="false" outlineLevel="0" collapsed="false">
      <c r="B25" s="9" t="s">
        <v>52</v>
      </c>
    </row>
    <row r="26" customFormat="false" ht="15" hidden="false" customHeight="false" outlineLevel="0" collapsed="false">
      <c r="B26" s="23" t="s">
        <v>53</v>
      </c>
      <c r="C26" s="24" t="s">
        <v>54</v>
      </c>
      <c r="D26" s="24" t="s">
        <v>55</v>
      </c>
      <c r="E26" s="24" t="s">
        <v>56</v>
      </c>
      <c r="F26" s="24" t="s">
        <v>57</v>
      </c>
      <c r="G26" s="24" t="s">
        <v>58</v>
      </c>
    </row>
    <row r="27" customFormat="false" ht="15" hidden="false" customHeight="false" outlineLevel="0" collapsed="false">
      <c r="B27" s="10" t="s">
        <v>59</v>
      </c>
      <c r="C27" s="15" t="n">
        <v>-0.08</v>
      </c>
      <c r="D27" s="15" t="n">
        <v>0.02</v>
      </c>
      <c r="E27" s="15" t="n">
        <v>0.04</v>
      </c>
      <c r="F27" s="15" t="n">
        <v>0.05</v>
      </c>
      <c r="G27" s="15" t="n">
        <v>0.04</v>
      </c>
      <c r="H27" s="3" t="s">
        <v>60</v>
      </c>
    </row>
    <row r="28" customFormat="false" ht="15" hidden="false" customHeight="false" outlineLevel="0" collapsed="false">
      <c r="B28" s="10" t="s">
        <v>61</v>
      </c>
      <c r="C28" s="15" t="n">
        <v>0.05</v>
      </c>
      <c r="D28" s="15" t="n">
        <v>0.07</v>
      </c>
      <c r="E28" s="15" t="n">
        <v>0.09</v>
      </c>
      <c r="F28" s="15" t="n">
        <v>0.105</v>
      </c>
      <c r="G28" s="15" t="n">
        <v>0.115</v>
      </c>
      <c r="H28" s="3" t="s">
        <v>62</v>
      </c>
    </row>
    <row r="29" customFormat="false" ht="15" hidden="false" customHeight="false" outlineLevel="0" collapsed="false">
      <c r="B29" s="10" t="s">
        <v>63</v>
      </c>
      <c r="C29" s="14" t="n">
        <v>0.24</v>
      </c>
      <c r="H29" s="3" t="s">
        <v>64</v>
      </c>
    </row>
    <row r="30" customFormat="false" ht="15" hidden="false" customHeight="false" outlineLevel="0" collapsed="false">
      <c r="B30" s="10" t="s">
        <v>65</v>
      </c>
      <c r="C30" s="14" t="n">
        <v>0.0161110261875357</v>
      </c>
      <c r="H30" s="3" t="s">
        <v>66</v>
      </c>
    </row>
    <row r="31" customFormat="false" ht="15" hidden="false" customHeight="false" outlineLevel="0" collapsed="false">
      <c r="B31" s="10" t="s">
        <v>67</v>
      </c>
      <c r="C31" s="14" t="n">
        <v>0.0132789400107663</v>
      </c>
      <c r="H31" s="3" t="s">
        <v>68</v>
      </c>
    </row>
    <row r="32" customFormat="false" ht="15" hidden="false" customHeight="false" outlineLevel="0" collapsed="false">
      <c r="B32" s="10" t="s">
        <v>69</v>
      </c>
      <c r="C32" s="14" t="n">
        <v>0.192477870778252</v>
      </c>
      <c r="H32" s="3" t="s">
        <v>70</v>
      </c>
    </row>
    <row r="34" customFormat="false" ht="15" hidden="false" customHeight="false" outlineLevel="0" collapsed="false">
      <c r="B34" s="9" t="s">
        <v>71</v>
      </c>
    </row>
    <row r="35" customFormat="false" ht="15" hidden="false" customHeight="false" outlineLevel="0" collapsed="false">
      <c r="B35" s="23" t="s">
        <v>72</v>
      </c>
      <c r="C35" s="24" t="s">
        <v>73</v>
      </c>
      <c r="D35" s="24" t="s">
        <v>74</v>
      </c>
      <c r="E35" s="24" t="s">
        <v>75</v>
      </c>
    </row>
    <row r="36" customFormat="false" ht="15" hidden="false" customHeight="false" outlineLevel="0" collapsed="false">
      <c r="B36" s="10" t="s">
        <v>76</v>
      </c>
      <c r="C36" s="14" t="n">
        <v>0</v>
      </c>
      <c r="D36" s="14" t="n">
        <v>-0.03</v>
      </c>
      <c r="E36" s="14" t="n">
        <v>0.03</v>
      </c>
    </row>
    <row r="37" customFormat="false" ht="15" hidden="false" customHeight="false" outlineLevel="0" collapsed="false">
      <c r="B37" s="10" t="s">
        <v>77</v>
      </c>
      <c r="C37" s="14" t="n">
        <v>0</v>
      </c>
      <c r="D37" s="14" t="n">
        <v>-0.02</v>
      </c>
      <c r="E37" s="14" t="n">
        <v>0.02</v>
      </c>
    </row>
    <row r="38" customFormat="false" ht="15" hidden="false" customHeight="false" outlineLevel="0" collapsed="false">
      <c r="B38" s="10" t="s">
        <v>9</v>
      </c>
      <c r="C38" s="14" t="n">
        <v>0</v>
      </c>
      <c r="D38" s="14" t="n">
        <v>0.01</v>
      </c>
      <c r="E38" s="14" t="n">
        <v>-0.01</v>
      </c>
    </row>
    <row r="39" customFormat="false" ht="15" hidden="false" customHeight="false" outlineLevel="0" collapsed="false">
      <c r="B39" s="10" t="s">
        <v>78</v>
      </c>
      <c r="C39" s="14" t="n">
        <v>0</v>
      </c>
      <c r="D39" s="14" t="n">
        <v>-0.005</v>
      </c>
      <c r="E39" s="14" t="n">
        <v>0.005</v>
      </c>
    </row>
    <row r="41" customFormat="false" ht="15" hidden="false" customHeight="false" outlineLevel="0" collapsed="false">
      <c r="B41" s="9" t="s">
        <v>79</v>
      </c>
    </row>
    <row r="42" customFormat="false" ht="15" hidden="false" customHeight="false" outlineLevel="0" collapsed="false">
      <c r="B42" s="10" t="s">
        <v>80</v>
      </c>
      <c r="C42" s="14" t="n">
        <v>0.5</v>
      </c>
    </row>
    <row r="43" customFormat="false" ht="15" hidden="false" customHeight="false" outlineLevel="0" collapsed="false">
      <c r="B43" s="10" t="s">
        <v>81</v>
      </c>
      <c r="C43" s="14" t="n">
        <v>0.25</v>
      </c>
    </row>
    <row r="44" customFormat="false" ht="15" hidden="false" customHeight="false" outlineLevel="0" collapsed="false">
      <c r="B44" s="10" t="s">
        <v>82</v>
      </c>
      <c r="C44" s="14" t="n">
        <v>0.25</v>
      </c>
    </row>
    <row r="45" customFormat="false" ht="15" hidden="false" customHeight="false" outlineLevel="0" collapsed="false">
      <c r="B45" s="10" t="s">
        <v>83</v>
      </c>
      <c r="C45" s="14" t="n">
        <v>0.15</v>
      </c>
    </row>
    <row r="46" customFormat="false" ht="15" hidden="false" customHeight="false" outlineLevel="0" collapsed="false">
      <c r="B46" s="10" t="s">
        <v>84</v>
      </c>
      <c r="C46" s="14" t="n">
        <v>-0.1</v>
      </c>
    </row>
  </sheetData>
  <dataValidations count="1">
    <dataValidation allowBlank="false" errorStyle="stop" operator="between" showDropDown="false" showErrorMessage="false" showInputMessage="false" sqref="C4" type="list">
      <formula1>"1,2,3"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J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12" min="3" style="0" width="12"/>
  </cols>
  <sheetData>
    <row r="1" customFormat="false" ht="17.35" hidden="false" customHeight="false" outlineLevel="0" collapsed="false">
      <c r="B1" s="12" t="s">
        <v>85</v>
      </c>
    </row>
    <row r="2" customFormat="false" ht="15" hidden="false" customHeight="false" outlineLevel="0" collapsed="false">
      <c r="B2" s="3" t="s">
        <v>86</v>
      </c>
    </row>
    <row r="4" customFormat="false" ht="15" hidden="false" customHeight="false" outlineLevel="0" collapsed="false">
      <c r="B4" s="23" t="s">
        <v>87</v>
      </c>
      <c r="C4" s="24" t="s">
        <v>88</v>
      </c>
      <c r="D4" s="24" t="s">
        <v>89</v>
      </c>
      <c r="E4" s="24" t="s">
        <v>90</v>
      </c>
      <c r="F4" s="24" t="s">
        <v>91</v>
      </c>
      <c r="G4" s="24" t="s">
        <v>92</v>
      </c>
      <c r="H4" s="24" t="s">
        <v>93</v>
      </c>
      <c r="I4" s="24" t="s">
        <v>94</v>
      </c>
      <c r="J4" s="24" t="s">
        <v>95</v>
      </c>
    </row>
    <row r="5" customFormat="false" ht="15" hidden="false" customHeight="false" outlineLevel="0" collapsed="false">
      <c r="B5" s="21" t="s">
        <v>96</v>
      </c>
      <c r="C5" s="20" t="n">
        <v>39117</v>
      </c>
      <c r="D5" s="20" t="n">
        <v>37403</v>
      </c>
      <c r="E5" s="20" t="n">
        <v>44538</v>
      </c>
      <c r="F5" s="20" t="n">
        <v>46710</v>
      </c>
      <c r="G5" s="20" t="n">
        <v>51217</v>
      </c>
      <c r="H5" s="20" t="n">
        <v>51362</v>
      </c>
      <c r="I5" s="20" t="n">
        <v>46309</v>
      </c>
      <c r="J5" s="20" t="n">
        <v>46398</v>
      </c>
    </row>
    <row r="6" customFormat="false" ht="15" hidden="false" customHeight="false" outlineLevel="0" collapsed="false">
      <c r="B6" s="10" t="s">
        <v>97</v>
      </c>
      <c r="C6" s="20" t="n">
        <v>21643</v>
      </c>
      <c r="D6" s="20" t="n">
        <v>21162</v>
      </c>
      <c r="E6" s="20" t="n">
        <v>24576</v>
      </c>
      <c r="F6" s="20" t="n">
        <v>25231</v>
      </c>
      <c r="G6" s="20" t="n">
        <v>28925</v>
      </c>
      <c r="H6" s="20" t="n">
        <v>28475</v>
      </c>
      <c r="I6" s="20" t="n">
        <v>26519</v>
      </c>
      <c r="J6" s="20" t="n">
        <v>26487</v>
      </c>
    </row>
    <row r="7" customFormat="false" ht="15" hidden="false" customHeight="false" outlineLevel="0" collapsed="false">
      <c r="B7" s="10" t="s">
        <v>98</v>
      </c>
      <c r="C7" s="20" t="n">
        <v>17474</v>
      </c>
      <c r="D7" s="20" t="n">
        <v>16241</v>
      </c>
      <c r="E7" s="20" t="n">
        <v>19962</v>
      </c>
      <c r="F7" s="20" t="n">
        <v>21479</v>
      </c>
      <c r="G7" s="20" t="n">
        <v>22292</v>
      </c>
      <c r="H7" s="20" t="n">
        <v>22887</v>
      </c>
      <c r="I7" s="20" t="n">
        <v>19790</v>
      </c>
      <c r="J7" s="20" t="n">
        <v>19911</v>
      </c>
    </row>
    <row r="8" customFormat="false" ht="15" hidden="false" customHeight="false" outlineLevel="0" collapsed="false">
      <c r="B8" s="21" t="s">
        <v>99</v>
      </c>
      <c r="C8" s="20" t="n">
        <v>4772</v>
      </c>
      <c r="D8" s="20" t="n">
        <v>3115</v>
      </c>
      <c r="E8" s="20" t="n">
        <v>6937</v>
      </c>
      <c r="F8" s="20" t="n">
        <v>6675</v>
      </c>
      <c r="G8" s="20" t="n">
        <v>5915</v>
      </c>
      <c r="H8" s="20" t="n">
        <v>6311</v>
      </c>
      <c r="I8" s="20" t="n">
        <v>3702</v>
      </c>
      <c r="J8" s="20" t="n">
        <v>3797</v>
      </c>
    </row>
    <row r="9" customFormat="false" ht="15" hidden="false" customHeight="false" outlineLevel="0" collapsed="false">
      <c r="B9" s="10" t="s">
        <v>100</v>
      </c>
      <c r="C9" s="20" t="n">
        <v>705</v>
      </c>
      <c r="D9" s="20" t="n">
        <v>721</v>
      </c>
      <c r="E9" s="20" t="n">
        <v>744</v>
      </c>
      <c r="F9" s="20" t="n">
        <v>717</v>
      </c>
      <c r="G9" s="20" t="n">
        <v>703</v>
      </c>
      <c r="H9" s="20" t="n">
        <v>796</v>
      </c>
      <c r="I9" s="20" t="n">
        <v>775</v>
      </c>
      <c r="J9" s="20" t="n">
        <v>747</v>
      </c>
    </row>
    <row r="10" customFormat="false" ht="15" hidden="false" customHeight="false" outlineLevel="0" collapsed="false">
      <c r="B10" s="21" t="s">
        <v>101</v>
      </c>
      <c r="C10" s="25" t="n">
        <f aca="false">C8+C9</f>
        <v>5477</v>
      </c>
      <c r="D10" s="25" t="n">
        <f aca="false">D8+D9</f>
        <v>3836</v>
      </c>
      <c r="E10" s="25" t="n">
        <f aca="false">E8+E9</f>
        <v>7681</v>
      </c>
      <c r="F10" s="25" t="n">
        <f aca="false">F8+F9</f>
        <v>7392</v>
      </c>
      <c r="G10" s="25" t="n">
        <f aca="false">G8+G9</f>
        <v>6618</v>
      </c>
      <c r="H10" s="25" t="n">
        <f aca="false">H8+H9</f>
        <v>7107</v>
      </c>
      <c r="I10" s="25" t="n">
        <f aca="false">I8+I9</f>
        <v>4477</v>
      </c>
      <c r="J10" s="25" t="n">
        <f aca="false">J8+J9</f>
        <v>4544</v>
      </c>
    </row>
    <row r="11" customFormat="false" ht="15" hidden="false" customHeight="false" outlineLevel="0" collapsed="false">
      <c r="B11" s="10" t="s">
        <v>102</v>
      </c>
      <c r="C11" s="20" t="n">
        <v>153</v>
      </c>
      <c r="D11" s="20" t="n">
        <v>140</v>
      </c>
      <c r="E11" s="20" t="n">
        <v>293</v>
      </c>
      <c r="F11" s="20" t="n">
        <v>290</v>
      </c>
      <c r="G11" s="20" t="n">
        <v>347</v>
      </c>
      <c r="H11" s="20" t="n">
        <v>381</v>
      </c>
      <c r="I11" s="20" t="n">
        <v>389</v>
      </c>
      <c r="J11" s="20" t="n">
        <v>323</v>
      </c>
    </row>
    <row r="12" customFormat="false" ht="15" hidden="false" customHeight="false" outlineLevel="0" collapsed="false">
      <c r="B12" s="10" t="s">
        <v>103</v>
      </c>
      <c r="C12" s="20" t="n">
        <v>4801</v>
      </c>
      <c r="D12" s="20" t="n">
        <v>2887</v>
      </c>
      <c r="E12" s="20" t="n">
        <v>6661</v>
      </c>
      <c r="F12" s="20" t="n">
        <v>6651</v>
      </c>
      <c r="G12" s="20" t="n">
        <v>6201</v>
      </c>
      <c r="H12" s="20" t="n">
        <v>6700</v>
      </c>
      <c r="I12" s="20" t="n">
        <v>3885</v>
      </c>
      <c r="J12" s="20" t="n">
        <v>3900</v>
      </c>
    </row>
    <row r="13" customFormat="false" ht="15" hidden="false" customHeight="false" outlineLevel="0" collapsed="false">
      <c r="B13" s="10" t="s">
        <v>104</v>
      </c>
      <c r="C13" s="20" t="n">
        <v>772</v>
      </c>
      <c r="D13" s="20" t="n">
        <v>348</v>
      </c>
      <c r="E13" s="20" t="n">
        <v>934</v>
      </c>
      <c r="F13" s="20" t="n">
        <v>605</v>
      </c>
      <c r="G13" s="20" t="n">
        <v>1131</v>
      </c>
      <c r="H13" s="20" t="n">
        <v>1000</v>
      </c>
      <c r="I13" s="20" t="n">
        <v>666</v>
      </c>
      <c r="J13" s="20" t="n">
        <v>792</v>
      </c>
    </row>
    <row r="14" customFormat="false" ht="15" hidden="false" customHeight="false" outlineLevel="0" collapsed="false">
      <c r="B14" s="21" t="s">
        <v>105</v>
      </c>
      <c r="C14" s="20" t="n">
        <v>4029</v>
      </c>
      <c r="D14" s="20" t="n">
        <v>2539</v>
      </c>
      <c r="E14" s="20" t="n">
        <v>5727</v>
      </c>
      <c r="F14" s="20" t="n">
        <v>6046</v>
      </c>
      <c r="G14" s="20" t="n">
        <v>5070</v>
      </c>
      <c r="H14" s="20" t="n">
        <v>5700</v>
      </c>
      <c r="I14" s="20" t="n">
        <v>3219</v>
      </c>
      <c r="J14" s="20" t="n">
        <v>3108</v>
      </c>
    </row>
    <row r="15" customFormat="false" ht="15" hidden="false" customHeight="false" outlineLevel="0" collapsed="false">
      <c r="B15" s="10" t="s">
        <v>106</v>
      </c>
      <c r="C15" s="20" t="n">
        <v>5903</v>
      </c>
      <c r="D15" s="20" t="n">
        <v>2485</v>
      </c>
      <c r="E15" s="20" t="n">
        <v>6657</v>
      </c>
      <c r="F15" s="20" t="n">
        <v>5188</v>
      </c>
      <c r="G15" s="20" t="n">
        <v>5841</v>
      </c>
      <c r="H15" s="20" t="n">
        <v>7429</v>
      </c>
      <c r="I15" s="20" t="n">
        <v>3698</v>
      </c>
      <c r="J15" s="20" t="n">
        <v>2868</v>
      </c>
    </row>
    <row r="16" customFormat="false" ht="15" hidden="false" customHeight="false" outlineLevel="0" collapsed="false">
      <c r="B16" s="10" t="s">
        <v>107</v>
      </c>
      <c r="C16" s="20" t="n">
        <v>1119</v>
      </c>
      <c r="D16" s="20" t="n">
        <v>1086</v>
      </c>
      <c r="E16" s="20" t="n">
        <v>695</v>
      </c>
      <c r="F16" s="20" t="n">
        <v>758</v>
      </c>
      <c r="G16" s="20" t="n">
        <v>969</v>
      </c>
      <c r="H16" s="20" t="n">
        <v>812</v>
      </c>
      <c r="I16" s="20" t="n">
        <v>430</v>
      </c>
      <c r="J16" s="20" t="n">
        <v>684</v>
      </c>
    </row>
    <row r="17" customFormat="false" ht="15" hidden="false" customHeight="false" outlineLevel="0" collapsed="false">
      <c r="B17" s="21" t="s">
        <v>108</v>
      </c>
      <c r="C17" s="25" t="n">
        <f aca="false">C15-C16</f>
        <v>4784</v>
      </c>
      <c r="D17" s="25" t="n">
        <f aca="false">D15-D16</f>
        <v>1399</v>
      </c>
      <c r="E17" s="25" t="n">
        <f aca="false">E15-E16</f>
        <v>5962</v>
      </c>
      <c r="F17" s="25" t="n">
        <f aca="false">F15-F16</f>
        <v>4430</v>
      </c>
      <c r="G17" s="25" t="n">
        <f aca="false">G15-G16</f>
        <v>4872</v>
      </c>
      <c r="H17" s="25" t="n">
        <f aca="false">H15-H16</f>
        <v>6617</v>
      </c>
      <c r="I17" s="25" t="n">
        <f aca="false">I15-I16</f>
        <v>3268</v>
      </c>
      <c r="J17" s="25" t="n">
        <f aca="false">J15-J16</f>
        <v>2184</v>
      </c>
    </row>
    <row r="18" customFormat="false" ht="15" hidden="false" customHeight="false" outlineLevel="0" collapsed="false">
      <c r="B18" s="10" t="s">
        <v>109</v>
      </c>
      <c r="C18" s="20" t="n">
        <v>325</v>
      </c>
      <c r="D18" s="20" t="n">
        <v>429</v>
      </c>
      <c r="E18" s="20" t="n">
        <v>611</v>
      </c>
      <c r="F18" s="20" t="n">
        <v>638</v>
      </c>
      <c r="G18" s="20" t="n">
        <v>755</v>
      </c>
      <c r="H18" s="20" t="n">
        <v>804</v>
      </c>
      <c r="I18" s="20" t="n">
        <v>709</v>
      </c>
      <c r="J18" s="20" t="n">
        <v>715</v>
      </c>
    </row>
    <row r="19" customFormat="false" ht="15" hidden="false" customHeight="false" outlineLevel="0" collapsed="false">
      <c r="B19" s="10" t="s">
        <v>110</v>
      </c>
      <c r="C19" s="20" t="n">
        <v>1332</v>
      </c>
      <c r="D19" s="20" t="n">
        <v>1452</v>
      </c>
      <c r="E19" s="20" t="n">
        <v>1638</v>
      </c>
      <c r="F19" s="20" t="n">
        <v>1837</v>
      </c>
      <c r="G19" s="20" t="n">
        <v>2012</v>
      </c>
      <c r="H19" s="20" t="n">
        <v>2169</v>
      </c>
      <c r="I19" s="20" t="n">
        <v>2300</v>
      </c>
      <c r="J19" s="20" t="n">
        <v>2407</v>
      </c>
    </row>
    <row r="20" customFormat="false" ht="15" hidden="false" customHeight="false" outlineLevel="0" collapsed="false">
      <c r="B20" s="10" t="s">
        <v>111</v>
      </c>
      <c r="C20" s="20" t="n">
        <v>4286</v>
      </c>
      <c r="D20" s="20" t="n">
        <v>3067</v>
      </c>
      <c r="E20" s="20" t="n">
        <v>608</v>
      </c>
      <c r="F20" s="20" t="n">
        <v>4014</v>
      </c>
      <c r="G20" s="20" t="n">
        <v>5480</v>
      </c>
      <c r="H20" s="20" t="n">
        <v>4250</v>
      </c>
      <c r="I20" s="20" t="n">
        <v>2985</v>
      </c>
      <c r="J20" s="20" t="n">
        <v>146</v>
      </c>
    </row>
    <row r="21" customFormat="false" ht="15" hidden="false" customHeight="false" outlineLevel="0" collapsed="false">
      <c r="B21" s="10" t="s">
        <v>45</v>
      </c>
      <c r="C21" s="20" t="n">
        <v>4466</v>
      </c>
      <c r="D21" s="20" t="n">
        <v>8348</v>
      </c>
      <c r="E21" s="20" t="n">
        <v>9889</v>
      </c>
      <c r="F21" s="20" t="n">
        <v>8574</v>
      </c>
      <c r="G21" s="20" t="n">
        <v>7441</v>
      </c>
      <c r="H21" s="20" t="n">
        <v>9860</v>
      </c>
      <c r="I21" s="20" t="n">
        <v>7464</v>
      </c>
      <c r="J21" s="20" t="n">
        <v>7563</v>
      </c>
    </row>
    <row r="22" customFormat="false" ht="15" hidden="false" customHeight="false" outlineLevel="0" collapsed="false">
      <c r="B22" s="10" t="s">
        <v>47</v>
      </c>
      <c r="C22" s="20" t="n">
        <v>197</v>
      </c>
      <c r="D22" s="20" t="n">
        <v>439</v>
      </c>
      <c r="E22" s="20" t="n">
        <v>3587</v>
      </c>
      <c r="F22" s="20" t="n">
        <v>4423</v>
      </c>
      <c r="G22" s="20" t="n">
        <v>3234</v>
      </c>
      <c r="H22" s="20" t="n">
        <v>1722</v>
      </c>
      <c r="I22" s="20" t="n">
        <v>1687</v>
      </c>
      <c r="J22" s="20" t="n">
        <v>1464</v>
      </c>
    </row>
    <row r="23" customFormat="false" ht="15" hidden="false" customHeight="false" outlineLevel="0" collapsed="false">
      <c r="B23" s="10" t="s">
        <v>112</v>
      </c>
      <c r="C23" s="20" t="n">
        <v>4272</v>
      </c>
      <c r="D23" s="20" t="n">
        <v>2749</v>
      </c>
      <c r="E23" s="20" t="n">
        <v>4463</v>
      </c>
      <c r="F23" s="20" t="n">
        <v>4667</v>
      </c>
      <c r="G23" s="20" t="n">
        <v>4131</v>
      </c>
      <c r="H23" s="20" t="n">
        <v>4427</v>
      </c>
      <c r="I23" s="20" t="n">
        <v>4717</v>
      </c>
      <c r="J23" s="20" t="n">
        <v>5931</v>
      </c>
    </row>
    <row r="24" customFormat="false" ht="15" hidden="false" customHeight="false" outlineLevel="0" collapsed="false">
      <c r="B24" s="10" t="s">
        <v>113</v>
      </c>
      <c r="C24" s="20" t="n">
        <v>5622</v>
      </c>
      <c r="D24" s="20" t="n">
        <v>7367</v>
      </c>
      <c r="E24" s="20" t="n">
        <v>6854</v>
      </c>
      <c r="F24" s="20" t="n">
        <v>8420</v>
      </c>
      <c r="G24" s="20" t="n">
        <v>8454</v>
      </c>
      <c r="H24" s="20" t="n">
        <v>7519</v>
      </c>
      <c r="I24" s="20" t="n">
        <v>7489</v>
      </c>
      <c r="J24" s="20" t="n">
        <v>7501</v>
      </c>
    </row>
    <row r="25" customFormat="false" ht="15" hidden="false" customHeight="false" outlineLevel="0" collapsed="false">
      <c r="B25" s="10" t="s">
        <v>114</v>
      </c>
      <c r="C25" s="20" t="n">
        <v>2612</v>
      </c>
      <c r="D25" s="20" t="n">
        <v>2248</v>
      </c>
      <c r="E25" s="20" t="n">
        <v>2836</v>
      </c>
      <c r="F25" s="20" t="n">
        <v>3358</v>
      </c>
      <c r="G25" s="20" t="n">
        <v>2862</v>
      </c>
      <c r="H25" s="20" t="n">
        <v>2851</v>
      </c>
      <c r="I25" s="20" t="n">
        <v>3479</v>
      </c>
      <c r="J25" s="20" t="n">
        <v>3600</v>
      </c>
    </row>
    <row r="26" customFormat="false" ht="15" hidden="false" customHeight="false" outlineLevel="0" collapsed="false">
      <c r="B26" s="10" t="s">
        <v>115</v>
      </c>
      <c r="C26" s="20" t="n">
        <v>23717</v>
      </c>
      <c r="D26" s="20" t="n">
        <v>31342</v>
      </c>
      <c r="E26" s="20" t="n">
        <v>37740</v>
      </c>
      <c r="F26" s="20" t="n">
        <v>40321</v>
      </c>
      <c r="G26" s="20" t="n">
        <v>37531</v>
      </c>
      <c r="H26" s="20" t="n">
        <v>38110</v>
      </c>
      <c r="I26" s="20" t="n">
        <v>36579</v>
      </c>
      <c r="J26" s="20" t="n">
        <v>38410</v>
      </c>
    </row>
    <row r="27" customFormat="false" ht="15" hidden="false" customHeight="false" outlineLevel="0" collapsed="false">
      <c r="B27" s="10" t="s">
        <v>116</v>
      </c>
      <c r="C27" s="20" t="n">
        <v>9040</v>
      </c>
      <c r="D27" s="20" t="n">
        <v>8055</v>
      </c>
      <c r="E27" s="20" t="n">
        <v>12767</v>
      </c>
      <c r="F27" s="20" t="n">
        <v>15281</v>
      </c>
      <c r="G27" s="20" t="n">
        <v>14004</v>
      </c>
      <c r="H27" s="20" t="n">
        <v>14430</v>
      </c>
      <c r="I27" s="20" t="n">
        <v>13213</v>
      </c>
      <c r="J27" s="20" t="n">
        <v>14865</v>
      </c>
    </row>
    <row r="28" customFormat="false" ht="15" hidden="false" customHeight="false" outlineLevel="0" collapsed="false">
      <c r="B28" s="10" t="s">
        <v>117</v>
      </c>
      <c r="C28" s="20" t="n">
        <v>3479</v>
      </c>
      <c r="D28" s="20" t="n">
        <v>9657</v>
      </c>
      <c r="E28" s="20" t="n">
        <v>9415</v>
      </c>
      <c r="F28" s="20" t="n">
        <v>9430</v>
      </c>
      <c r="G28" s="20" t="n">
        <v>8933</v>
      </c>
      <c r="H28" s="20" t="n">
        <v>8909</v>
      </c>
      <c r="I28" s="20" t="n">
        <v>7966</v>
      </c>
      <c r="J28" s="20" t="n">
        <v>7942</v>
      </c>
    </row>
    <row r="29" customFormat="false" ht="15" hidden="false" customHeight="false" outlineLevel="0" collapsed="false">
      <c r="B29" s="10" t="s">
        <v>50</v>
      </c>
      <c r="C29" s="25" t="n">
        <f aca="false">C28-C21-C22</f>
        <v>-1184</v>
      </c>
      <c r="D29" s="25" t="n">
        <f aca="false">D28-D21-D22</f>
        <v>870</v>
      </c>
      <c r="E29" s="25" t="n">
        <f aca="false">E28-E21-E22</f>
        <v>-4061</v>
      </c>
      <c r="F29" s="25" t="n">
        <f aca="false">F28-F21-F22</f>
        <v>-3567</v>
      </c>
      <c r="G29" s="25" t="n">
        <f aca="false">G28-G21-G22</f>
        <v>-1742</v>
      </c>
      <c r="H29" s="25" t="n">
        <f aca="false">H28-H21-H22</f>
        <v>-2673</v>
      </c>
      <c r="I29" s="25" t="n">
        <f aca="false">I28-I21-I22</f>
        <v>-1185</v>
      </c>
      <c r="J29" s="25" t="n">
        <f aca="false">J28-J21-J22</f>
        <v>-1085</v>
      </c>
    </row>
    <row r="30" customFormat="false" ht="15" hidden="false" customHeight="false" outlineLevel="0" collapsed="false">
      <c r="B30" s="10" t="s">
        <v>118</v>
      </c>
      <c r="C30" s="25" t="n">
        <f aca="false">C23+C24-C25</f>
        <v>7282</v>
      </c>
      <c r="D30" s="25" t="n">
        <f aca="false">D23+D24-D25</f>
        <v>7868</v>
      </c>
      <c r="E30" s="25" t="n">
        <f aca="false">E23+E24-E25</f>
        <v>8481</v>
      </c>
      <c r="F30" s="25" t="n">
        <f aca="false">F23+F24-F25</f>
        <v>9729</v>
      </c>
      <c r="G30" s="25" t="n">
        <f aca="false">G23+G24-G25</f>
        <v>9723</v>
      </c>
      <c r="H30" s="25" t="n">
        <f aca="false">H23+H24-H25</f>
        <v>9095</v>
      </c>
      <c r="I30" s="25" t="n">
        <f aca="false">I23+I24-I25</f>
        <v>8727</v>
      </c>
      <c r="J30" s="25" t="n">
        <f aca="false">J23+J24-J25</f>
        <v>9832</v>
      </c>
    </row>
    <row r="32" customFormat="false" ht="15" hidden="false" customHeight="false" outlineLevel="0" collapsed="false">
      <c r="B32" s="9" t="s">
        <v>119</v>
      </c>
    </row>
    <row r="33" customFormat="false" ht="15" hidden="false" customHeight="false" outlineLevel="0" collapsed="false">
      <c r="B33" s="10" t="s">
        <v>59</v>
      </c>
      <c r="D33" s="26" t="n">
        <f aca="false">IFERROR(D5/C5-1,"")</f>
        <v>-0.0438172661502672</v>
      </c>
      <c r="E33" s="26" t="n">
        <f aca="false">IFERROR(E5/D5-1,"")</f>
        <v>0.190760099457263</v>
      </c>
      <c r="F33" s="26" t="n">
        <f aca="false">IFERROR(F5/E5-1,"")</f>
        <v>0.0487673447393238</v>
      </c>
      <c r="G33" s="26" t="n">
        <f aca="false">IFERROR(G5/F5-1,"")</f>
        <v>0.0964889745236566</v>
      </c>
      <c r="H33" s="26" t="n">
        <f aca="false">IFERROR(H5/G5-1,"")</f>
        <v>0.00283109123923708</v>
      </c>
      <c r="I33" s="26" t="n">
        <f aca="false">IFERROR(I5/H5-1,"")</f>
        <v>-0.0983801253845256</v>
      </c>
      <c r="J33" s="26" t="n">
        <f aca="false">IFERROR(J5/I5-1,"")</f>
        <v>0.00192187263814803</v>
      </c>
    </row>
    <row r="34" customFormat="false" ht="15" hidden="false" customHeight="false" outlineLevel="0" collapsed="false">
      <c r="B34" s="10" t="s">
        <v>120</v>
      </c>
      <c r="C34" s="26" t="n">
        <f aca="false">IFERROR(C7/C5,"")</f>
        <v>0.446711148605466</v>
      </c>
      <c r="D34" s="26" t="n">
        <f aca="false">IFERROR(D7/D5,"")</f>
        <v>0.434216506697324</v>
      </c>
      <c r="E34" s="26" t="n">
        <f aca="false">IFERROR(E7/E5,"")</f>
        <v>0.44820153576721</v>
      </c>
      <c r="F34" s="26" t="n">
        <f aca="false">IFERROR(F7/F5,"")</f>
        <v>0.45983729394134</v>
      </c>
      <c r="G34" s="26" t="n">
        <f aca="false">IFERROR(G7/G5,"")</f>
        <v>0.435246109690142</v>
      </c>
      <c r="H34" s="26" t="n">
        <f aca="false">IFERROR(H7/H5,"")</f>
        <v>0.445601806783225</v>
      </c>
      <c r="I34" s="26" t="n">
        <f aca="false">IFERROR(I7/I5,"")</f>
        <v>0.427346736055626</v>
      </c>
      <c r="J34" s="26" t="n">
        <f aca="false">IFERROR(J7/J5,"")</f>
        <v>0.429134876503298</v>
      </c>
    </row>
    <row r="35" customFormat="false" ht="15" hidden="false" customHeight="false" outlineLevel="0" collapsed="false">
      <c r="B35" s="10" t="s">
        <v>61</v>
      </c>
      <c r="C35" s="26" t="n">
        <f aca="false">IFERROR(C8/C5,"")</f>
        <v>0.121992995372856</v>
      </c>
      <c r="D35" s="26" t="n">
        <f aca="false">IFERROR(D8/D5,"")</f>
        <v>0.0832820896719514</v>
      </c>
      <c r="E35" s="26" t="n">
        <f aca="false">IFERROR(E8/E5,"")</f>
        <v>0.155754636490188</v>
      </c>
      <c r="F35" s="26" t="n">
        <f aca="false">IFERROR(F8/F5,"")</f>
        <v>0.142903018625562</v>
      </c>
      <c r="G35" s="26" t="n">
        <f aca="false">IFERROR(G8/G5,"")</f>
        <v>0.115488997793701</v>
      </c>
      <c r="H35" s="26" t="n">
        <f aca="false">IFERROR(H8/H5,"")</f>
        <v>0.122872941084849</v>
      </c>
      <c r="I35" s="26" t="n">
        <f aca="false">IFERROR(I8/I5,"")</f>
        <v>0.0799412641171263</v>
      </c>
      <c r="J35" s="26" t="n">
        <f aca="false">IFERROR(J8/J5,"")</f>
        <v>0.0818354239406871</v>
      </c>
    </row>
    <row r="36" customFormat="false" ht="15" hidden="false" customHeight="false" outlineLevel="0" collapsed="false">
      <c r="B36" s="10" t="s">
        <v>121</v>
      </c>
      <c r="C36" s="26" t="n">
        <f aca="false">IFERROR(C10/C5,"")</f>
        <v>0.140015849886239</v>
      </c>
      <c r="D36" s="26" t="n">
        <f aca="false">IFERROR(D10/D5,"")</f>
        <v>0.10255861829265</v>
      </c>
      <c r="E36" s="26" t="n">
        <f aca="false">IFERROR(E10/E5,"")</f>
        <v>0.172459472809736</v>
      </c>
      <c r="F36" s="26" t="n">
        <f aca="false">IFERROR(F10/F5,"")</f>
        <v>0.1582530507386</v>
      </c>
      <c r="G36" s="26" t="n">
        <f aca="false">IFERROR(G10/G5,"")</f>
        <v>0.129214909112209</v>
      </c>
      <c r="H36" s="26" t="n">
        <f aca="false">IFERROR(H10/H5,"")</f>
        <v>0.138370779954052</v>
      </c>
      <c r="I36" s="26" t="n">
        <f aca="false">IFERROR(I10/I5,"")</f>
        <v>0.0966766719212248</v>
      </c>
      <c r="J36" s="26" t="n">
        <f aca="false">IFERROR(J10/J5,"")</f>
        <v>0.0979352558299927</v>
      </c>
    </row>
    <row r="37" customFormat="false" ht="15" hidden="false" customHeight="false" outlineLevel="0" collapsed="false">
      <c r="B37" s="10" t="s">
        <v>122</v>
      </c>
      <c r="C37" s="26" t="n">
        <f aca="false">IFERROR(C14/C5,"")</f>
        <v>0.102998696219035</v>
      </c>
      <c r="D37" s="26" t="n">
        <f aca="false">IFERROR(D14/D5,"")</f>
        <v>0.0678822554340561</v>
      </c>
      <c r="E37" s="26" t="n">
        <f aca="false">IFERROR(E14/E5,"")</f>
        <v>0.128586824733935</v>
      </c>
      <c r="F37" s="26" t="n">
        <f aca="false">IFERROR(F14/F5,"")</f>
        <v>0.129436951402269</v>
      </c>
      <c r="G37" s="26" t="n">
        <f aca="false">IFERROR(G14/G5,"")</f>
        <v>0.0989905695374583</v>
      </c>
      <c r="H37" s="26" t="n">
        <f aca="false">IFERROR(H14/H5,"")</f>
        <v>0.110976986877458</v>
      </c>
      <c r="I37" s="26" t="n">
        <f aca="false">IFERROR(I14/I5,"")</f>
        <v>0.0695113260921203</v>
      </c>
      <c r="J37" s="26" t="n">
        <f aca="false">IFERROR(J14/J5,"")</f>
        <v>0.0669856459330144</v>
      </c>
    </row>
    <row r="38" customFormat="false" ht="15" hidden="false" customHeight="false" outlineLevel="0" collapsed="false">
      <c r="B38" s="10" t="s">
        <v>123</v>
      </c>
      <c r="C38" s="26" t="n">
        <f aca="false">IFERROR(C17/C5,"")</f>
        <v>0.122299767364573</v>
      </c>
      <c r="D38" s="26" t="n">
        <f aca="false">IFERROR(D17/D5,"")</f>
        <v>0.0374034168382215</v>
      </c>
      <c r="E38" s="26" t="n">
        <f aca="false">IFERROR(E17/E5,"")</f>
        <v>0.133863217926265</v>
      </c>
      <c r="F38" s="26" t="n">
        <f aca="false">IFERROR(F17/F5,"")</f>
        <v>0.0948405052451295</v>
      </c>
      <c r="G38" s="26" t="n">
        <f aca="false">IFERROR(G17/G5,"")</f>
        <v>0.0951246656383623</v>
      </c>
      <c r="H38" s="26" t="n">
        <f aca="false">IFERROR(H17/H5,"")</f>
        <v>0.128830653011954</v>
      </c>
      <c r="I38" s="26" t="n">
        <f aca="false">IFERROR(I17/I5,"")</f>
        <v>0.0705694357468311</v>
      </c>
      <c r="J38" s="26" t="n">
        <f aca="false">IFERROR(J17/J5,"")</f>
        <v>0.0470709944394155</v>
      </c>
    </row>
    <row r="39" customFormat="false" ht="15" hidden="false" customHeight="false" outlineLevel="0" collapsed="false">
      <c r="B39" s="10" t="s">
        <v>124</v>
      </c>
      <c r="C39" s="26" t="n">
        <f aca="false">IFERROR(C13/C12,"")</f>
        <v>0.160799833368048</v>
      </c>
      <c r="D39" s="26" t="n">
        <f aca="false">IFERROR(D13/D12,"")</f>
        <v>0.120540353307932</v>
      </c>
      <c r="E39" s="26" t="n">
        <f aca="false">IFERROR(E13/E12,"")</f>
        <v>0.140219186308362</v>
      </c>
      <c r="F39" s="26" t="n">
        <f aca="false">IFERROR(F13/F12,"")</f>
        <v>0.0909637648473914</v>
      </c>
      <c r="G39" s="26" t="n">
        <f aca="false">IFERROR(G13/G12,"")</f>
        <v>0.182389937106918</v>
      </c>
      <c r="H39" s="26" t="n">
        <f aca="false">IFERROR(H13/H12,"")</f>
        <v>0.149253731343284</v>
      </c>
      <c r="I39" s="26" t="n">
        <f aca="false">IFERROR(I13/I12,"")</f>
        <v>0.171428571428571</v>
      </c>
      <c r="J39" s="26" t="n">
        <f aca="false">IFERROR(J13/J12,"")</f>
        <v>0.203076923076923</v>
      </c>
    </row>
    <row r="40" customFormat="false" ht="15" hidden="false" customHeight="false" outlineLevel="0" collapsed="false">
      <c r="B40" s="10" t="s">
        <v>65</v>
      </c>
      <c r="C40" s="26" t="n">
        <f aca="false">IFERROR(C9/C5,"")</f>
        <v>0.0180228545133829</v>
      </c>
      <c r="D40" s="26" t="n">
        <f aca="false">IFERROR(D9/D5,"")</f>
        <v>0.0192765286206989</v>
      </c>
      <c r="E40" s="26" t="n">
        <f aca="false">IFERROR(E9/E5,"")</f>
        <v>0.0167048363195474</v>
      </c>
      <c r="F40" s="26" t="n">
        <f aca="false">IFERROR(F9/F5,"")</f>
        <v>0.0153500321130379</v>
      </c>
      <c r="G40" s="26" t="n">
        <f aca="false">IFERROR(G9/G5,"")</f>
        <v>0.0137259113185075</v>
      </c>
      <c r="H40" s="26" t="n">
        <f aca="false">IFERROR(H9/H5,"")</f>
        <v>0.0154978388692029</v>
      </c>
      <c r="I40" s="26" t="n">
        <f aca="false">IFERROR(I9/I5,"")</f>
        <v>0.0167354078040986</v>
      </c>
      <c r="J40" s="26" t="n">
        <f aca="false">IFERROR(J9/J5,"")</f>
        <v>0.0160998318893056</v>
      </c>
    </row>
    <row r="41" customFormat="false" ht="15" hidden="false" customHeight="false" outlineLevel="0" collapsed="false">
      <c r="B41" s="10" t="s">
        <v>67</v>
      </c>
      <c r="C41" s="26" t="n">
        <f aca="false">IFERROR(C16/C5,"")</f>
        <v>0.0286064882276248</v>
      </c>
      <c r="D41" s="26" t="n">
        <f aca="false">IFERROR(D16/D5,"")</f>
        <v>0.0290351041360319</v>
      </c>
      <c r="E41" s="26" t="n">
        <f aca="false">IFERROR(E16/E5,"")</f>
        <v>0.015604652207104</v>
      </c>
      <c r="F41" s="26" t="n">
        <f aca="false">IFERROR(F16/F5,"")</f>
        <v>0.0162277884821237</v>
      </c>
      <c r="G41" s="26" t="n">
        <f aca="false">IFERROR(G16/G5,"")</f>
        <v>0.0189194993849698</v>
      </c>
      <c r="H41" s="26" t="n">
        <f aca="false">IFERROR(H16/H5,"")</f>
        <v>0.0158093532183326</v>
      </c>
      <c r="I41" s="26" t="n">
        <f aca="false">IFERROR(I16/I5,"")</f>
        <v>0.00928545207195146</v>
      </c>
      <c r="J41" s="26" t="n">
        <f aca="false">IFERROR(J16/J5,"")</f>
        <v>0.0147420147420147</v>
      </c>
    </row>
    <row r="42" customFormat="false" ht="15" hidden="false" customHeight="false" outlineLevel="0" collapsed="false">
      <c r="B42" s="10" t="s">
        <v>69</v>
      </c>
      <c r="C42" s="26" t="n">
        <f aca="false">IFERROR(C30/C5,"")</f>
        <v>0.186159470307028</v>
      </c>
      <c r="D42" s="26" t="n">
        <f aca="false">IFERROR(D30/D5,"")</f>
        <v>0.210357457957918</v>
      </c>
      <c r="E42" s="26" t="n">
        <f aca="false">IFERROR(E30/E5,"")</f>
        <v>0.190421662400647</v>
      </c>
      <c r="F42" s="26" t="n">
        <f aca="false">IFERROR(F30/F5,"")</f>
        <v>0.208285163776493</v>
      </c>
      <c r="G42" s="26" t="n">
        <f aca="false">IFERROR(G30/G5,"")</f>
        <v>0.189839311166214</v>
      </c>
      <c r="H42" s="26" t="n">
        <f aca="false">IFERROR(H30/H5,"")</f>
        <v>0.177076437833418</v>
      </c>
      <c r="I42" s="26" t="n">
        <f aca="false">IFERROR(I30/I5,"")</f>
        <v>0.188451488911443</v>
      </c>
      <c r="J42" s="26" t="n">
        <f aca="false">IFERROR(J30/J5,"")</f>
        <v>0.211905685589896</v>
      </c>
    </row>
    <row r="43" customFormat="false" ht="15" hidden="false" customHeight="false" outlineLevel="0" collapsed="false">
      <c r="B43" s="10" t="s">
        <v>125</v>
      </c>
      <c r="C43" s="27" t="n">
        <f aca="false">IFERROR(C29/C10,"")</f>
        <v>-0.216176739090743</v>
      </c>
      <c r="D43" s="27" t="n">
        <f aca="false">IFERROR(D29/D10,"")</f>
        <v>0.226798748696559</v>
      </c>
      <c r="E43" s="27" t="n">
        <f aca="false">IFERROR(E29/E10,"")</f>
        <v>-0.528707199583388</v>
      </c>
      <c r="F43" s="27" t="n">
        <f aca="false">IFERROR(F29/F10,"")</f>
        <v>-0.482548701298701</v>
      </c>
      <c r="G43" s="27" t="n">
        <f aca="false">IFERROR(G29/G10,"")</f>
        <v>-0.263221517074645</v>
      </c>
      <c r="H43" s="27" t="n">
        <f aca="false">IFERROR(H29/H10,"")</f>
        <v>-0.376108062473618</v>
      </c>
      <c r="I43" s="27" t="n">
        <f aca="false">IFERROR(I29/I10,"")</f>
        <v>-0.264686173777083</v>
      </c>
      <c r="J43" s="27" t="n">
        <f aca="false">IFERROR(J29/J10,"")</f>
        <v>-0.238776408450704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J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11" min="3" style="0" width="13"/>
  </cols>
  <sheetData>
    <row r="1" customFormat="false" ht="17.35" hidden="false" customHeight="false" outlineLevel="0" collapsed="false">
      <c r="B1" s="12" t="s">
        <v>126</v>
      </c>
    </row>
    <row r="2" customFormat="false" ht="15" hidden="false" customHeight="false" outlineLevel="0" collapsed="false">
      <c r="B2" s="3" t="s">
        <v>127</v>
      </c>
    </row>
    <row r="4" customFormat="false" ht="23.85" hidden="false" customHeight="false" outlineLevel="0" collapsed="false">
      <c r="B4" s="23" t="s">
        <v>128</v>
      </c>
      <c r="C4" s="24" t="s">
        <v>129</v>
      </c>
      <c r="D4" s="24" t="s">
        <v>130</v>
      </c>
      <c r="E4" s="24" t="s">
        <v>131</v>
      </c>
      <c r="F4" s="24" t="s">
        <v>7</v>
      </c>
      <c r="G4" s="24" t="s">
        <v>132</v>
      </c>
      <c r="H4" s="24" t="s">
        <v>133</v>
      </c>
      <c r="I4" s="24" t="s">
        <v>134</v>
      </c>
      <c r="J4" s="24" t="s">
        <v>135</v>
      </c>
    </row>
    <row r="5" customFormat="false" ht="15" hidden="false" customHeight="false" outlineLevel="0" collapsed="false">
      <c r="B5" s="21" t="s">
        <v>136</v>
      </c>
      <c r="C5" s="28" t="n">
        <v>0.997804606582301</v>
      </c>
      <c r="D5" s="28" t="n">
        <v>0.173470890078032</v>
      </c>
      <c r="E5" s="29" t="n">
        <f aca="false">IF(C5="","",0.67*C5+0.33)</f>
        <v>0.998529086410142</v>
      </c>
      <c r="F5" s="20" t="n">
        <v>50269.8524147034</v>
      </c>
      <c r="G5" s="20" t="n">
        <v>7893</v>
      </c>
      <c r="H5" s="26" t="n">
        <f aca="false">IFERROR(G5/F5,0)</f>
        <v>0.157012595439635</v>
      </c>
      <c r="I5" s="30" t="n">
        <f aca="false">IF(E5="","",E5/(1+(1-Assumptions!$C$9)*H5))</f>
        <v>0.893330930430136</v>
      </c>
      <c r="J5" s="10" t="s">
        <v>137</v>
      </c>
    </row>
    <row r="6" customFormat="false" ht="15" hidden="false" customHeight="false" outlineLevel="0" collapsed="false">
      <c r="B6" s="10" t="s">
        <v>138</v>
      </c>
      <c r="C6" s="28" t="n">
        <v>1.10748358253268</v>
      </c>
      <c r="D6" s="28" t="n">
        <v>0.123891924669968</v>
      </c>
      <c r="E6" s="29" t="n">
        <f aca="false">IF(C6="","",0.67*C6+0.33)</f>
        <v>1.0720140002969</v>
      </c>
      <c r="F6" s="20" t="n">
        <v>9974.41518876575</v>
      </c>
      <c r="G6" s="20" t="n">
        <v>0</v>
      </c>
      <c r="H6" s="26" t="n">
        <f aca="false">IFERROR(G6/F6,0)</f>
        <v>0</v>
      </c>
      <c r="I6" s="30" t="n">
        <f aca="false">IF(E6="","",E6/(1+(1-Assumptions!$C$9)*H6))</f>
        <v>1.0720140002969</v>
      </c>
      <c r="J6" s="10" t="s">
        <v>139</v>
      </c>
    </row>
    <row r="7" customFormat="false" ht="15" hidden="false" customHeight="false" outlineLevel="0" collapsed="false">
      <c r="B7" s="10" t="s">
        <v>140</v>
      </c>
      <c r="C7" s="28" t="n">
        <v>1.33213191017703</v>
      </c>
      <c r="D7" s="28" t="n">
        <v>0.195782721813042</v>
      </c>
      <c r="E7" s="29" t="n">
        <f aca="false">IF(C7="","",0.67*C7+0.33)</f>
        <v>1.22252837981861</v>
      </c>
      <c r="F7" s="20" t="n">
        <v>10793.0940149129</v>
      </c>
      <c r="G7" s="20" t="n">
        <v>0</v>
      </c>
      <c r="H7" s="26" t="n">
        <f aca="false">IFERROR(G7/F7,0)</f>
        <v>0</v>
      </c>
      <c r="I7" s="30" t="n">
        <f aca="false">IF(E7="","",E7/(1+(1-Assumptions!$C$9)*H7))</f>
        <v>1.22252837981861</v>
      </c>
      <c r="J7" s="10" t="s">
        <v>139</v>
      </c>
    </row>
    <row r="8" customFormat="false" ht="15" hidden="false" customHeight="false" outlineLevel="0" collapsed="false">
      <c r="B8" s="10" t="s">
        <v>141</v>
      </c>
      <c r="C8" s="28" t="n">
        <v>0.779542694483046</v>
      </c>
      <c r="D8" s="28" t="n">
        <v>0.058681914032636</v>
      </c>
      <c r="E8" s="29" t="n">
        <f aca="false">IF(C8="","",0.67*C8+0.33)</f>
        <v>0.852293605303641</v>
      </c>
      <c r="F8" s="20" t="n">
        <v>5661.83373116989</v>
      </c>
      <c r="G8" s="20" t="n">
        <v>1334</v>
      </c>
      <c r="H8" s="26" t="n">
        <f aca="false">IFERROR(G8/F8,0)</f>
        <v>0.23561271194807</v>
      </c>
      <c r="I8" s="30" t="n">
        <f aca="false">IF(E8="","",E8/(1+(1-Assumptions!$C$9)*H8))</f>
        <v>0.724302455878504</v>
      </c>
      <c r="J8" s="10" t="s">
        <v>139</v>
      </c>
    </row>
    <row r="9" customFormat="false" ht="15" hidden="false" customHeight="false" outlineLevel="0" collapsed="false">
      <c r="B9" s="10" t="s">
        <v>142</v>
      </c>
      <c r="C9" s="28" t="n">
        <v>0.992853723444422</v>
      </c>
      <c r="D9" s="28" t="n">
        <v>0.0848838681690847</v>
      </c>
      <c r="E9" s="29" t="n">
        <f aca="false">IF(C9="","",0.67*C9+0.33)</f>
        <v>0.995211994707763</v>
      </c>
      <c r="F9" s="20" t="n">
        <v>2034.42328647709</v>
      </c>
      <c r="G9" s="20" t="n">
        <v>591.158</v>
      </c>
      <c r="H9" s="26" t="n">
        <f aca="false">IFERROR(G9/F9,0)</f>
        <v>0.290577680627948</v>
      </c>
      <c r="I9" s="30" t="n">
        <f aca="false">IF(E9="","",E9/(1+(1-Assumptions!$C$9)*H9))</f>
        <v>0.81713179778252</v>
      </c>
      <c r="J9" s="10" t="s">
        <v>139</v>
      </c>
    </row>
    <row r="10" customFormat="false" ht="15" hidden="false" customHeight="false" outlineLevel="0" collapsed="false">
      <c r="B10" s="10" t="s">
        <v>143</v>
      </c>
      <c r="C10" s="28" t="n">
        <v>1.83463568074456</v>
      </c>
      <c r="D10" s="28" t="n">
        <v>0.235504701452049</v>
      </c>
      <c r="E10" s="29" t="n">
        <f aca="false">IF(C10="","",0.67*C10+0.33)</f>
        <v>1.55920590609885</v>
      </c>
      <c r="F10" s="20" t="n">
        <v>5614.05984276034</v>
      </c>
      <c r="G10" s="20" t="n">
        <v>3530.009</v>
      </c>
      <c r="H10" s="26" t="n">
        <f aca="false">IFERROR(G10/F10,0)</f>
        <v>0.628780080524462</v>
      </c>
      <c r="I10" s="30" t="n">
        <f aca="false">IF(E10="","",E10/(1+(1-Assumptions!$C$9)*H10))</f>
        <v>1.05954181519218</v>
      </c>
      <c r="J10" s="10" t="s">
        <v>139</v>
      </c>
    </row>
    <row r="11" customFormat="false" ht="15" hidden="false" customHeight="false" outlineLevel="0" collapsed="false">
      <c r="B11" s="10" t="s">
        <v>144</v>
      </c>
      <c r="C11" s="28" t="n">
        <v>0.63125087292083</v>
      </c>
      <c r="D11" s="28" t="n">
        <v>0.0753896254148094</v>
      </c>
      <c r="E11" s="29" t="n">
        <f aca="false">IF(C11="","",0.67*C11+0.33)</f>
        <v>0.752938084856956</v>
      </c>
      <c r="F11" s="20" t="n">
        <v>2931.83424381439</v>
      </c>
      <c r="G11" s="20" t="n">
        <v>0</v>
      </c>
      <c r="H11" s="26" t="n">
        <f aca="false">IFERROR(G11/F11,0)</f>
        <v>0</v>
      </c>
      <c r="I11" s="30" t="n">
        <f aca="false">IF(E11="","",E11/(1+(1-Assumptions!$C$9)*H11))</f>
        <v>0.752938084856956</v>
      </c>
      <c r="J11" s="10" t="s">
        <v>139</v>
      </c>
    </row>
    <row r="13" customFormat="false" ht="15" hidden="false" customHeight="false" outlineLevel="0" collapsed="false">
      <c r="B13" s="10" t="s">
        <v>145</v>
      </c>
      <c r="C13" s="29" t="n">
        <f aca="false">MEDIAN(I6:I11)</f>
        <v>0.938336806487348</v>
      </c>
    </row>
    <row r="14" customFormat="false" ht="15" hidden="false" customHeight="false" outlineLevel="0" collapsed="false">
      <c r="B14" s="10" t="s">
        <v>146</v>
      </c>
      <c r="C14" s="31" t="n">
        <f aca="false">Assumptions!$C$21/Assumptions!$C$23</f>
        <v>0.157012595439635</v>
      </c>
    </row>
    <row r="15" customFormat="false" ht="15" hidden="false" customHeight="false" outlineLevel="0" collapsed="false">
      <c r="B15" s="10" t="s">
        <v>147</v>
      </c>
      <c r="C15" s="30" t="n">
        <f aca="false">C13*(1+(1-Assumptions!$C$9)*C14)</f>
        <v>1.04883482952469</v>
      </c>
      <c r="D15" s="3" t="s">
        <v>148</v>
      </c>
    </row>
    <row r="16" customFormat="false" ht="15" hidden="false" customHeight="false" outlineLevel="0" collapsed="false">
      <c r="B16" s="10" t="s">
        <v>149</v>
      </c>
      <c r="C16" s="31" t="n">
        <f aca="false">Assumptions!$C$7</f>
        <v>0.0524</v>
      </c>
    </row>
    <row r="17" customFormat="false" ht="15" hidden="false" customHeight="false" outlineLevel="0" collapsed="false">
      <c r="B17" s="10" t="s">
        <v>26</v>
      </c>
      <c r="C17" s="31" t="n">
        <f aca="false">Assumptions!$C$8</f>
        <v>0.045</v>
      </c>
    </row>
    <row r="18" customFormat="false" ht="15" hidden="false" customHeight="false" outlineLevel="0" collapsed="false">
      <c r="B18" s="21" t="s">
        <v>150</v>
      </c>
      <c r="C18" s="32" t="n">
        <f aca="false">C16+C15*C17</f>
        <v>0.0995975673286108</v>
      </c>
    </row>
    <row r="19" customFormat="false" ht="15" hidden="false" customHeight="false" outlineLevel="0" collapsed="false">
      <c r="B19" s="10" t="s">
        <v>151</v>
      </c>
      <c r="C19" s="31" t="n">
        <f aca="false">Assumptions!$C$7+Assumptions!$C$10</f>
        <v>0.0584</v>
      </c>
    </row>
    <row r="20" customFormat="false" ht="15" hidden="false" customHeight="false" outlineLevel="0" collapsed="false">
      <c r="B20" s="10" t="s">
        <v>152</v>
      </c>
      <c r="C20" s="31" t="n">
        <f aca="false">C19*(1-Assumptions!$C$9)</f>
        <v>0.0438</v>
      </c>
    </row>
    <row r="21" customFormat="false" ht="15" hidden="false" customHeight="false" outlineLevel="0" collapsed="false">
      <c r="B21" s="10" t="s">
        <v>153</v>
      </c>
      <c r="C21" s="31" t="n">
        <f aca="false">Assumptions!$C$23/(Assumptions!$C$23+Assumptions!$C$21)</f>
        <v>0.864294826125057</v>
      </c>
    </row>
    <row r="22" customFormat="false" ht="15" hidden="false" customHeight="false" outlineLevel="0" collapsed="false">
      <c r="B22" s="10" t="s">
        <v>154</v>
      </c>
      <c r="C22" s="26" t="n">
        <f aca="false">1-C21</f>
        <v>0.135705173874944</v>
      </c>
    </row>
    <row r="23" customFormat="false" ht="15" hidden="false" customHeight="false" outlineLevel="0" collapsed="false">
      <c r="B23" s="10" t="s">
        <v>155</v>
      </c>
      <c r="C23" s="26" t="n">
        <f aca="false">C21*C18+C22*C20</f>
        <v>0.0920255487524828</v>
      </c>
    </row>
    <row r="24" customFormat="false" ht="15" hidden="false" customHeight="false" outlineLevel="0" collapsed="false">
      <c r="B24" s="10" t="s">
        <v>156</v>
      </c>
      <c r="C24" s="31" t="n">
        <f aca="false">MAX(C23,Assumptions!$C$11+Assumptions!$C$13)</f>
        <v>0.0920255487524828</v>
      </c>
    </row>
    <row r="25" customFormat="false" ht="15" hidden="false" customHeight="false" outlineLevel="0" collapsed="false">
      <c r="B25" s="21" t="s">
        <v>157</v>
      </c>
      <c r="C25" s="33" t="n">
        <f aca="false">C24+INDEX(Assumptions!$C$38:$E$38,Assumptions!$C$4)</f>
        <v>0.0920255487524828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I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5"/>
    <col collapsed="false" customWidth="true" hidden="false" outlineLevel="0" max="8" min="4" style="0" width="13"/>
    <col collapsed="false" customWidth="true" hidden="false" outlineLevel="0" max="9" min="9" style="0" width="50"/>
  </cols>
  <sheetData>
    <row r="1" customFormat="false" ht="17.35" hidden="false" customHeight="false" outlineLevel="0" collapsed="false">
      <c r="B1" s="12" t="s">
        <v>158</v>
      </c>
    </row>
    <row r="2" customFormat="false" ht="15" hidden="false" customHeight="false" outlineLevel="0" collapsed="false">
      <c r="B2" s="3" t="s">
        <v>159</v>
      </c>
    </row>
    <row r="4" customFormat="false" ht="15" hidden="false" customHeight="false" outlineLevel="0" collapsed="false">
      <c r="B4" s="23"/>
      <c r="C4" s="24" t="s">
        <v>160</v>
      </c>
      <c r="D4" s="24" t="s">
        <v>54</v>
      </c>
      <c r="E4" s="24" t="s">
        <v>55</v>
      </c>
      <c r="F4" s="24" t="s">
        <v>56</v>
      </c>
      <c r="G4" s="24" t="s">
        <v>57</v>
      </c>
      <c r="H4" s="24" t="s">
        <v>58</v>
      </c>
    </row>
    <row r="5" customFormat="false" ht="15" hidden="false" customHeight="false" outlineLevel="0" collapsed="false">
      <c r="B5" s="10" t="s">
        <v>161</v>
      </c>
      <c r="D5" s="17" t="n">
        <v>1</v>
      </c>
      <c r="E5" s="17" t="n">
        <v>2</v>
      </c>
      <c r="F5" s="17" t="n">
        <v>3</v>
      </c>
      <c r="G5" s="17" t="n">
        <v>4</v>
      </c>
      <c r="H5" s="17" t="n">
        <v>5</v>
      </c>
    </row>
    <row r="6" customFormat="false" ht="15" hidden="false" customHeight="false" outlineLevel="0" collapsed="false">
      <c r="B6" s="21" t="s">
        <v>96</v>
      </c>
      <c r="C6" s="22" t="n">
        <f aca="false">Historicals!$J$5</f>
        <v>46398</v>
      </c>
      <c r="D6" s="34" t="n">
        <f aca="false">C6*(1+D7)</f>
        <v>42686.16</v>
      </c>
      <c r="E6" s="34" t="n">
        <f aca="false">D6*(1+E7)</f>
        <v>43539.8832</v>
      </c>
      <c r="F6" s="34" t="n">
        <f aca="false">E6*(1+F7)</f>
        <v>45281.478528</v>
      </c>
      <c r="G6" s="34" t="n">
        <f aca="false">F6*(1+G7)</f>
        <v>47545.5524544</v>
      </c>
      <c r="H6" s="34" t="n">
        <f aca="false">G6*(1+H7)</f>
        <v>49447.374552576</v>
      </c>
    </row>
    <row r="7" customFormat="false" ht="15" hidden="false" customHeight="false" outlineLevel="0" collapsed="false">
      <c r="B7" s="10" t="s">
        <v>59</v>
      </c>
      <c r="D7" s="31" t="n">
        <f aca="false">Assumptions!C27+INDEX(Assumptions!$C$36:$E$36,Assumptions!$C$4)</f>
        <v>-0.08</v>
      </c>
      <c r="E7" s="31" t="n">
        <f aca="false">Assumptions!D27+INDEX(Assumptions!$C$36:$E$36,Assumptions!$C$4)</f>
        <v>0.02</v>
      </c>
      <c r="F7" s="31" t="n">
        <f aca="false">Assumptions!E27+INDEX(Assumptions!$C$36:$E$36,Assumptions!$C$4)</f>
        <v>0.04</v>
      </c>
      <c r="G7" s="31" t="n">
        <f aca="false">Assumptions!F27+INDEX(Assumptions!$C$36:$E$36,Assumptions!$C$4)</f>
        <v>0.05</v>
      </c>
      <c r="H7" s="31" t="n">
        <f aca="false">Assumptions!G27+INDEX(Assumptions!$C$36:$E$36,Assumptions!$C$4)</f>
        <v>0.04</v>
      </c>
    </row>
    <row r="8" customFormat="false" ht="15" hidden="false" customHeight="false" outlineLevel="0" collapsed="false">
      <c r="B8" s="10" t="s">
        <v>61</v>
      </c>
      <c r="D8" s="31" t="n">
        <f aca="false">Assumptions!C28+INDEX(Assumptions!$C$37:$E$37,Assumptions!$C$4)</f>
        <v>0.05</v>
      </c>
      <c r="E8" s="31" t="n">
        <f aca="false">Assumptions!D28+INDEX(Assumptions!$C$37:$E$37,Assumptions!$C$4)</f>
        <v>0.07</v>
      </c>
      <c r="F8" s="31" t="n">
        <f aca="false">Assumptions!E28+INDEX(Assumptions!$C$37:$E$37,Assumptions!$C$4)</f>
        <v>0.09</v>
      </c>
      <c r="G8" s="31" t="n">
        <f aca="false">Assumptions!F28+INDEX(Assumptions!$C$37:$E$37,Assumptions!$C$4)</f>
        <v>0.105</v>
      </c>
      <c r="H8" s="31" t="n">
        <f aca="false">Assumptions!G28+INDEX(Assumptions!$C$37:$E$37,Assumptions!$C$4)</f>
        <v>0.115</v>
      </c>
    </row>
    <row r="9" customFormat="false" ht="15" hidden="false" customHeight="false" outlineLevel="0" collapsed="false">
      <c r="B9" s="10" t="s">
        <v>162</v>
      </c>
      <c r="D9" s="25" t="n">
        <f aca="false">D6*D8</f>
        <v>2134.308</v>
      </c>
      <c r="E9" s="25" t="n">
        <f aca="false">E6*E8</f>
        <v>3047.791824</v>
      </c>
      <c r="F9" s="25" t="n">
        <f aca="false">F6*F8</f>
        <v>4075.33306752</v>
      </c>
      <c r="G9" s="25" t="n">
        <f aca="false">G6*G8</f>
        <v>4992.283007712</v>
      </c>
      <c r="H9" s="25" t="n">
        <f aca="false">H6*H8</f>
        <v>5686.44807354624</v>
      </c>
    </row>
    <row r="10" customFormat="false" ht="15" hidden="false" customHeight="false" outlineLevel="0" collapsed="false">
      <c r="B10" s="10" t="s">
        <v>163</v>
      </c>
      <c r="D10" s="35" t="n">
        <f aca="false">D9*Assumptions!$C$29</f>
        <v>512.23392</v>
      </c>
      <c r="E10" s="35" t="n">
        <f aca="false">E9*Assumptions!$C$29</f>
        <v>731.47003776</v>
      </c>
      <c r="F10" s="35" t="n">
        <f aca="false">F9*Assumptions!$C$29</f>
        <v>978.0799362048</v>
      </c>
      <c r="G10" s="35" t="n">
        <f aca="false">G9*Assumptions!$C$29</f>
        <v>1198.14792185088</v>
      </c>
      <c r="H10" s="35" t="n">
        <f aca="false">H9*Assumptions!$C$29</f>
        <v>1364.7475376511</v>
      </c>
    </row>
    <row r="11" customFormat="false" ht="15" hidden="false" customHeight="false" outlineLevel="0" collapsed="false">
      <c r="B11" s="10" t="s">
        <v>164</v>
      </c>
      <c r="D11" s="25" t="n">
        <f aca="false">D9-D10</f>
        <v>1622.07408</v>
      </c>
      <c r="E11" s="25" t="n">
        <f aca="false">E9-E10</f>
        <v>2316.32178624</v>
      </c>
      <c r="F11" s="25" t="n">
        <f aca="false">F9-F10</f>
        <v>3097.2531313152</v>
      </c>
      <c r="G11" s="25" t="n">
        <f aca="false">G9-G10</f>
        <v>3794.13508586112</v>
      </c>
      <c r="H11" s="25" t="n">
        <f aca="false">H9-H10</f>
        <v>4321.70053589514</v>
      </c>
    </row>
    <row r="12" customFormat="false" ht="15" hidden="false" customHeight="false" outlineLevel="0" collapsed="false">
      <c r="B12" s="10" t="s">
        <v>165</v>
      </c>
      <c r="D12" s="35" t="n">
        <f aca="false">D6*Assumptions!$C$30</f>
        <v>687.717841605338</v>
      </c>
      <c r="E12" s="35" t="n">
        <f aca="false">E6*Assumptions!$C$30</f>
        <v>701.472198437445</v>
      </c>
      <c r="F12" s="35" t="n">
        <f aca="false">F6*Assumptions!$C$30</f>
        <v>729.531086374943</v>
      </c>
      <c r="G12" s="35" t="n">
        <f aca="false">G6*Assumptions!$C$30</f>
        <v>766.00764069369</v>
      </c>
      <c r="H12" s="35" t="n">
        <f aca="false">H6*Assumptions!$C$30</f>
        <v>796.647946321437</v>
      </c>
    </row>
    <row r="13" customFormat="false" ht="15" hidden="false" customHeight="false" outlineLevel="0" collapsed="false">
      <c r="B13" s="10" t="s">
        <v>166</v>
      </c>
      <c r="D13" s="35" t="n">
        <f aca="false">D6*Assumptions!$C$31</f>
        <v>566.826957929971</v>
      </c>
      <c r="E13" s="35" t="n">
        <f aca="false">E6*Assumptions!$C$31</f>
        <v>578.16349708857</v>
      </c>
      <c r="F13" s="35" t="n">
        <f aca="false">F6*Assumptions!$C$31</f>
        <v>601.290036972113</v>
      </c>
      <c r="G13" s="35" t="n">
        <f aca="false">G6*Assumptions!$C$31</f>
        <v>631.354538820719</v>
      </c>
      <c r="H13" s="35" t="n">
        <f aca="false">H6*Assumptions!$C$31</f>
        <v>656.608720373547</v>
      </c>
    </row>
    <row r="14" customFormat="false" ht="15" hidden="false" customHeight="false" outlineLevel="0" collapsed="false">
      <c r="B14" s="10" t="s">
        <v>167</v>
      </c>
      <c r="C14" s="35" t="n">
        <f aca="false">C6*Assumptions!$C$32</f>
        <v>8930.58824836935</v>
      </c>
      <c r="D14" s="35" t="n">
        <f aca="false">D6*Assumptions!$C$32</f>
        <v>8216.1411884998</v>
      </c>
      <c r="E14" s="35" t="n">
        <f aca="false">E6*Assumptions!$C$32</f>
        <v>8380.4640122698</v>
      </c>
      <c r="F14" s="35" t="n">
        <f aca="false">F6*Assumptions!$C$32</f>
        <v>8715.68257276059</v>
      </c>
      <c r="G14" s="35" t="n">
        <f aca="false">G6*Assumptions!$C$32</f>
        <v>9151.46670139862</v>
      </c>
      <c r="H14" s="35" t="n">
        <f aca="false">H6*Assumptions!$C$32</f>
        <v>9517.52536945456</v>
      </c>
    </row>
    <row r="15" customFormat="false" ht="15" hidden="false" customHeight="false" outlineLevel="0" collapsed="false">
      <c r="B15" s="10" t="s">
        <v>168</v>
      </c>
      <c r="D15" s="25" t="n">
        <f aca="false">D14-C14</f>
        <v>-714.447059869546</v>
      </c>
      <c r="E15" s="25" t="n">
        <f aca="false">E14-D14</f>
        <v>164.322823769995</v>
      </c>
      <c r="F15" s="25" t="n">
        <f aca="false">F14-E14</f>
        <v>335.218560490792</v>
      </c>
      <c r="G15" s="25" t="n">
        <f aca="false">G14-F14</f>
        <v>435.78412863803</v>
      </c>
      <c r="H15" s="25" t="n">
        <f aca="false">H14-G14</f>
        <v>366.058668055945</v>
      </c>
    </row>
    <row r="16" customFormat="false" ht="15" hidden="false" customHeight="false" outlineLevel="0" collapsed="false">
      <c r="B16" s="21" t="s">
        <v>169</v>
      </c>
      <c r="D16" s="34" t="n">
        <f aca="false">D11+D12-D13-D15</f>
        <v>2457.41202354491</v>
      </c>
      <c r="E16" s="34" t="n">
        <f aca="false">E11+E12-E13-E15</f>
        <v>2275.30766381888</v>
      </c>
      <c r="F16" s="34" t="n">
        <f aca="false">F11+F12-F13-F15</f>
        <v>2890.27562022724</v>
      </c>
      <c r="G16" s="34" t="n">
        <f aca="false">G11+G12-G13-G15</f>
        <v>3493.00405909606</v>
      </c>
      <c r="H16" s="34" t="n">
        <f aca="false">H11+H12-H13-H15</f>
        <v>4095.68109378709</v>
      </c>
    </row>
    <row r="17" customFormat="false" ht="15" hidden="false" customHeight="false" outlineLevel="0" collapsed="false">
      <c r="B17" s="10" t="s">
        <v>101</v>
      </c>
      <c r="D17" s="25" t="n">
        <f aca="false">D9+D12</f>
        <v>2822.02584160534</v>
      </c>
      <c r="E17" s="25" t="n">
        <f aca="false">E9+E12</f>
        <v>3749.26402243745</v>
      </c>
      <c r="F17" s="25" t="n">
        <f aca="false">F9+F12</f>
        <v>4804.86415389494</v>
      </c>
      <c r="G17" s="25" t="n">
        <f aca="false">G9+G12</f>
        <v>5758.29064840569</v>
      </c>
      <c r="H17" s="25" t="n">
        <f aca="false">H9+H12</f>
        <v>6483.09601986768</v>
      </c>
    </row>
    <row r="18" customFormat="false" ht="15" hidden="false" customHeight="false" outlineLevel="0" collapsed="false">
      <c r="B18" s="10" t="s">
        <v>170</v>
      </c>
      <c r="D18" s="36" t="n">
        <f aca="false">D5-0.5*Assumptions!$C$14</f>
        <v>0.5</v>
      </c>
      <c r="E18" s="36" t="n">
        <f aca="false">E5-0.5*Assumptions!$C$14</f>
        <v>1.5</v>
      </c>
      <c r="F18" s="36" t="n">
        <f aca="false">F5-0.5*Assumptions!$C$14</f>
        <v>2.5</v>
      </c>
      <c r="G18" s="36" t="n">
        <f aca="false">G5-0.5*Assumptions!$C$14</f>
        <v>3.5</v>
      </c>
      <c r="H18" s="36" t="n">
        <f aca="false">H5-0.5*Assumptions!$C$14</f>
        <v>4.5</v>
      </c>
    </row>
    <row r="19" customFormat="false" ht="15" hidden="false" customHeight="false" outlineLevel="0" collapsed="false">
      <c r="B19" s="10" t="s">
        <v>171</v>
      </c>
      <c r="D19" s="37" t="n">
        <f aca="false">1/(1+$C$23)^D18</f>
        <v>0.956937558608184</v>
      </c>
      <c r="E19" s="37" t="n">
        <f aca="false">1/(1+$C$23)^E18</f>
        <v>0.876295943534818</v>
      </c>
      <c r="F19" s="37" t="n">
        <f aca="false">1/(1+$C$23)^F18</f>
        <v>0.802450038404219</v>
      </c>
      <c r="G19" s="37" t="n">
        <f aca="false">1/(1+$C$23)^G18</f>
        <v>0.734827165281003</v>
      </c>
      <c r="H19" s="37" t="n">
        <f aca="false">1/(1+$C$23)^H18</f>
        <v>0.672902906090852</v>
      </c>
    </row>
    <row r="20" customFormat="false" ht="15" hidden="false" customHeight="false" outlineLevel="0" collapsed="false">
      <c r="B20" s="21" t="s">
        <v>172</v>
      </c>
      <c r="D20" s="34" t="n">
        <f aca="false">D16*D19</f>
        <v>2351.58986230547</v>
      </c>
      <c r="E20" s="34" t="n">
        <f aca="false">E16*E19</f>
        <v>1993.84287609817</v>
      </c>
      <c r="F20" s="34" t="n">
        <f aca="false">F16*F19</f>
        <v>2319.30178245013</v>
      </c>
      <c r="G20" s="34" t="n">
        <f aca="false">G16*G19</f>
        <v>2566.7542710606</v>
      </c>
      <c r="H20" s="34" t="n">
        <f aca="false">H16*H19</f>
        <v>2755.99571043069</v>
      </c>
    </row>
    <row r="22" customFormat="false" ht="15" hidden="false" customHeight="false" outlineLevel="0" collapsed="false">
      <c r="B22" s="9" t="s">
        <v>173</v>
      </c>
    </row>
    <row r="23" customFormat="false" ht="15" hidden="false" customHeight="false" outlineLevel="0" collapsed="false">
      <c r="B23" s="10" t="s">
        <v>9</v>
      </c>
      <c r="C23" s="31" t="n">
        <f aca="false">WACC!$C$25</f>
        <v>0.0920255487524828</v>
      </c>
    </row>
    <row r="24" customFormat="false" ht="15" hidden="false" customHeight="false" outlineLevel="0" collapsed="false">
      <c r="B24" s="10" t="s">
        <v>78</v>
      </c>
      <c r="C24" s="31" t="n">
        <f aca="false">Assumptions!$C$11+INDEX(Assumptions!$C$39:$E$39,Assumptions!$C$4)</f>
        <v>0.025</v>
      </c>
    </row>
    <row r="25" customFormat="false" ht="15" hidden="false" customHeight="false" outlineLevel="0" collapsed="false">
      <c r="B25" s="10" t="s">
        <v>174</v>
      </c>
      <c r="C25" s="25" t="n">
        <f aca="false">SUM(D20:H20)</f>
        <v>11987.484502345</v>
      </c>
    </row>
    <row r="26" customFormat="false" ht="15" hidden="false" customHeight="false" outlineLevel="0" collapsed="false">
      <c r="B26" s="10" t="s">
        <v>175</v>
      </c>
      <c r="C26" s="25" t="n">
        <f aca="false">H16*(1+C24)/(C23-C24)</f>
        <v>62633.9239180978</v>
      </c>
      <c r="I26" s="3" t="s">
        <v>176</v>
      </c>
    </row>
    <row r="27" customFormat="false" ht="15" hidden="false" customHeight="false" outlineLevel="0" collapsed="false">
      <c r="B27" s="10" t="s">
        <v>177</v>
      </c>
      <c r="C27" s="25" t="n">
        <f aca="false">C26/(1+C23)^H5</f>
        <v>40331.6161099075</v>
      </c>
    </row>
    <row r="28" customFormat="false" ht="15" hidden="false" customHeight="false" outlineLevel="0" collapsed="false">
      <c r="B28" s="21" t="s">
        <v>178</v>
      </c>
      <c r="C28" s="34" t="n">
        <f aca="false">C25+C27</f>
        <v>52319.1006122526</v>
      </c>
    </row>
    <row r="29" customFormat="false" ht="15" hidden="false" customHeight="false" outlineLevel="0" collapsed="false">
      <c r="B29" s="10" t="s">
        <v>179</v>
      </c>
      <c r="C29" s="35" t="n">
        <f aca="false">Assumptions!$C$22</f>
        <v>-475</v>
      </c>
    </row>
    <row r="30" customFormat="false" ht="15" hidden="false" customHeight="false" outlineLevel="0" collapsed="false">
      <c r="B30" s="10" t="s">
        <v>180</v>
      </c>
      <c r="C30" s="25" t="n">
        <f aca="false">C28-C29</f>
        <v>52794.1006122526</v>
      </c>
    </row>
    <row r="31" customFormat="false" ht="15" hidden="false" customHeight="false" outlineLevel="0" collapsed="false">
      <c r="B31" s="10" t="s">
        <v>43</v>
      </c>
      <c r="C31" s="38" t="n">
        <f aca="false">Assumptions!$C$18</f>
        <v>1484.2</v>
      </c>
    </row>
    <row r="32" customFormat="false" ht="15" hidden="false" customHeight="false" outlineLevel="0" collapsed="false">
      <c r="B32" s="21" t="s">
        <v>181</v>
      </c>
      <c r="C32" s="39" t="n">
        <f aca="false">C30/C31</f>
        <v>35.5707455951035</v>
      </c>
    </row>
    <row r="33" customFormat="false" ht="15" hidden="false" customHeight="false" outlineLevel="0" collapsed="false">
      <c r="B33" s="10" t="s">
        <v>182</v>
      </c>
      <c r="C33" s="26" t="n">
        <f aca="false">C27/C28</f>
        <v>0.770877473770302</v>
      </c>
    </row>
    <row r="34" customFormat="false" ht="15" hidden="false" customHeight="false" outlineLevel="0" collapsed="false">
      <c r="B34" s="10" t="s">
        <v>183</v>
      </c>
      <c r="C34" s="27" t="n">
        <f aca="false">C26/H17</f>
        <v>9.66111310493534</v>
      </c>
    </row>
    <row r="36" customFormat="false" ht="15" hidden="false" customHeight="false" outlineLevel="0" collapsed="false">
      <c r="B36" s="9" t="s">
        <v>184</v>
      </c>
    </row>
    <row r="37" customFormat="false" ht="15" hidden="false" customHeight="false" outlineLevel="0" collapsed="false">
      <c r="B37" s="10" t="s">
        <v>185</v>
      </c>
      <c r="C37" s="40" t="n">
        <f aca="false">Assumptions!$C$12</f>
        <v>8.74369298913263</v>
      </c>
    </row>
    <row r="38" customFormat="false" ht="15" hidden="false" customHeight="false" outlineLevel="0" collapsed="false">
      <c r="B38" s="10" t="s">
        <v>175</v>
      </c>
      <c r="C38" s="25" t="n">
        <f aca="false">H17*C37</f>
        <v>56686.2012167907</v>
      </c>
    </row>
    <row r="39" customFormat="false" ht="15" hidden="false" customHeight="false" outlineLevel="0" collapsed="false">
      <c r="B39" s="10" t="s">
        <v>177</v>
      </c>
      <c r="C39" s="25" t="n">
        <f aca="false">C38/(1+C23)^H5</f>
        <v>36501.7224402888</v>
      </c>
    </row>
    <row r="40" customFormat="false" ht="15" hidden="false" customHeight="false" outlineLevel="0" collapsed="false">
      <c r="B40" s="21" t="s">
        <v>178</v>
      </c>
      <c r="C40" s="34" t="n">
        <f aca="false">C25+C39</f>
        <v>48489.2069426339</v>
      </c>
    </row>
    <row r="41" customFormat="false" ht="15" hidden="false" customHeight="false" outlineLevel="0" collapsed="false">
      <c r="B41" s="10" t="s">
        <v>180</v>
      </c>
      <c r="C41" s="25" t="n">
        <f aca="false">C40-C29</f>
        <v>48964.2069426339</v>
      </c>
    </row>
    <row r="42" customFormat="false" ht="15" hidden="false" customHeight="false" outlineLevel="0" collapsed="false">
      <c r="B42" s="21" t="s">
        <v>181</v>
      </c>
      <c r="C42" s="39" t="n">
        <f aca="false">C41/C31</f>
        <v>32.9903024812248</v>
      </c>
    </row>
    <row r="43" customFormat="false" ht="15" hidden="false" customHeight="false" outlineLevel="0" collapsed="false">
      <c r="B43" s="10" t="s">
        <v>186</v>
      </c>
      <c r="C43" s="26" t="n">
        <f aca="false">(C38*C23-H16)/(C38+H16)</f>
        <v>0.0184413123988868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G2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14" min="3" style="0" width="12"/>
  </cols>
  <sheetData>
    <row r="1" customFormat="false" ht="17.35" hidden="false" customHeight="false" outlineLevel="0" collapsed="false">
      <c r="B1" s="12" t="s">
        <v>187</v>
      </c>
    </row>
    <row r="2" customFormat="false" ht="15" hidden="false" customHeight="false" outlineLevel="0" collapsed="false">
      <c r="B2" s="3" t="s">
        <v>188</v>
      </c>
    </row>
    <row r="4" customFormat="false" ht="15" hidden="false" customHeight="false" outlineLevel="0" collapsed="false">
      <c r="B4" s="10" t="s">
        <v>189</v>
      </c>
      <c r="C4" s="14" t="n">
        <v>0.005</v>
      </c>
      <c r="D4" s="10" t="s">
        <v>190</v>
      </c>
      <c r="E4" s="14" t="n">
        <v>0.0025</v>
      </c>
      <c r="F4" s="10" t="s">
        <v>191</v>
      </c>
      <c r="G4" s="41" t="n">
        <v>1</v>
      </c>
    </row>
    <row r="6" customFormat="false" ht="15" hidden="false" customHeight="false" outlineLevel="0" collapsed="false">
      <c r="B6" s="9" t="s">
        <v>192</v>
      </c>
    </row>
    <row r="7" customFormat="false" ht="15" hidden="false" customHeight="false" outlineLevel="0" collapsed="false">
      <c r="B7" s="21" t="s">
        <v>193</v>
      </c>
      <c r="C7" s="42" t="n">
        <f aca="false">DCF!$C$24+(-2)*$E$4</f>
        <v>0.02</v>
      </c>
      <c r="D7" s="42" t="n">
        <f aca="false">DCF!$C$24+(-1)*$E$4</f>
        <v>0.0225</v>
      </c>
      <c r="E7" s="42" t="n">
        <f aca="false">DCF!$C$24+(0)*$E$4</f>
        <v>0.025</v>
      </c>
      <c r="F7" s="42" t="n">
        <f aca="false">DCF!$C$24+(1)*$E$4</f>
        <v>0.0275</v>
      </c>
      <c r="G7" s="42" t="n">
        <f aca="false">DCF!$C$24+(2)*$E$4</f>
        <v>0.03</v>
      </c>
    </row>
    <row r="8" customFormat="false" ht="15" hidden="false" customHeight="false" outlineLevel="0" collapsed="false">
      <c r="B8" s="42" t="n">
        <f aca="false">DCF!$C$23+(-2)*$C$4</f>
        <v>0.0820255487524828</v>
      </c>
      <c r="C8" s="43" t="n">
        <f aca="false">IF($B8&gt;C$7,(SUMPRODUCT(DCF!$D$16:$H$16/(1+$B8)^DCF!$D$18:$H$18)+DCF!$H$16*(1+C$7)/($B8-C$7)/(1+$B8)^DCF!$H$5-DCF!$C$29)/DCF!$C$31,"n/a")</f>
        <v>39.1909461097789</v>
      </c>
      <c r="D8" s="43" t="n">
        <f aca="false">IF($B8&gt;D$7,(SUMPRODUCT(DCF!$D$16:$H$16/(1+$B8)^DCF!$D$18:$H$18)+DCF!$H$16*(1+D$7)/($B8-D$7)/(1+$B8)^DCF!$H$5-DCF!$C$29)/DCF!$C$31,"n/a")</f>
        <v>40.5541148864007</v>
      </c>
      <c r="E8" s="43" t="n">
        <f aca="false">IF($B8&gt;E$7,(SUMPRODUCT(DCF!$D$16:$H$16/(1+$B8)^DCF!$D$18:$H$18)+DCF!$H$16*(1+E$7)/($B8-E$7)/(1+$B8)^DCF!$H$5-DCF!$C$29)/DCF!$C$31,"n/a")</f>
        <v>42.0368062986168</v>
      </c>
      <c r="F8" s="43" t="n">
        <f aca="false">IF($B8&gt;F$7,(SUMPRODUCT(DCF!$D$16:$H$16/(1+$B8)^DCF!$D$18:$H$18)+DCF!$H$16*(1+F$7)/($B8-F$7)/(1+$B8)^DCF!$H$5-DCF!$C$29)/DCF!$C$31,"n/a")</f>
        <v>43.6554607085597</v>
      </c>
      <c r="G8" s="43" t="n">
        <f aca="false">IF($B8&gt;G$7,(SUMPRODUCT(DCF!$D$16:$H$16/(1+$B8)^DCF!$D$18:$H$18)+DCF!$H$16*(1+G$7)/($B8-G$7)/(1+$B8)^DCF!$H$5-DCF!$C$29)/DCF!$C$31,"n/a")</f>
        <v>45.4296785338586</v>
      </c>
    </row>
    <row r="9" customFormat="false" ht="15" hidden="false" customHeight="false" outlineLevel="0" collapsed="false">
      <c r="B9" s="42" t="n">
        <f aca="false">DCF!$C$23+(-1)*$C$4</f>
        <v>0.0870255487524828</v>
      </c>
      <c r="C9" s="43" t="n">
        <f aca="false">IF($B9&gt;C$7,(SUMPRODUCT(DCF!$D$16:$H$16/(1+$B9)^DCF!$D$18:$H$18)+DCF!$H$16*(1+C$7)/($B9-C$7)/(1+$B9)^DCF!$H$5-DCF!$C$29)/DCF!$C$31,"n/a")</f>
        <v>36.1635485627282</v>
      </c>
      <c r="D9" s="43" t="n">
        <f aca="false">IF($B9&gt;D$7,(SUMPRODUCT(DCF!$D$16:$H$16/(1+$B9)^DCF!$D$18:$H$18)+DCF!$H$16*(1+D$7)/($B9-D$7)/(1+$B9)^DCF!$H$5-DCF!$C$29)/DCF!$C$31,"n/a")</f>
        <v>37.3060128244344</v>
      </c>
      <c r="E9" s="43" t="n">
        <f aca="false">IF($B9&gt;E$7,(SUMPRODUCT(DCF!$D$16:$H$16/(1+$B9)^DCF!$D$18:$H$18)+DCF!$H$16*(1+E$7)/($B9-E$7)/(1+$B9)^DCF!$H$5-DCF!$C$29)/DCF!$C$31,"n/a")</f>
        <v>38.5405733500742</v>
      </c>
      <c r="F9" s="43" t="n">
        <f aca="false">IF($B9&gt;F$7,(SUMPRODUCT(DCF!$D$16:$H$16/(1+$B9)^DCF!$D$18:$H$18)+DCF!$H$16*(1+F$7)/($B9-F$7)/(1+$B9)^DCF!$H$5-DCF!$C$29)/DCF!$C$31,"n/a")</f>
        <v>39.8788339298515</v>
      </c>
      <c r="G9" s="43" t="n">
        <f aca="false">IF($B9&gt;G$7,(SUMPRODUCT(DCF!$D$16:$H$16/(1+$B9)^DCF!$D$18:$H$18)+DCF!$H$16*(1+G$7)/($B9-G$7)/(1+$B9)^DCF!$H$5-DCF!$C$29)/DCF!$C$31,"n/a")</f>
        <v>41.3344331945739</v>
      </c>
    </row>
    <row r="10" customFormat="false" ht="15" hidden="false" customHeight="false" outlineLevel="0" collapsed="false">
      <c r="B10" s="42" t="n">
        <f aca="false">DCF!$C$23+(0)*$C$4</f>
        <v>0.0920255487524828</v>
      </c>
      <c r="C10" s="43" t="n">
        <f aca="false">IF($B10&gt;C$7,(SUMPRODUCT(DCF!$D$16:$H$16/(1+$B10)^DCF!$D$18:$H$18)+DCF!$H$16*(1+C$7)/($B10-C$7)/(1+$B10)^DCF!$H$5-DCF!$C$29)/DCF!$C$31,"n/a")</f>
        <v>33.5609792943915</v>
      </c>
      <c r="D10" s="43" t="n">
        <f aca="false">IF($B10&gt;D$7,(SUMPRODUCT(DCF!$D$16:$H$16/(1+$B10)^DCF!$D$18:$H$18)+DCF!$H$16*(1+D$7)/($B10-D$7)/(1+$B10)^DCF!$H$5-DCF!$C$29)/DCF!$C$31,"n/a")</f>
        <v>34.5297288518314</v>
      </c>
      <c r="E10" s="43" t="n">
        <f aca="false">IF($B10&gt;E$7,(SUMPRODUCT(DCF!$D$16:$H$16/(1+$B10)^DCF!$D$18:$H$18)+DCF!$H$16*(1+E$7)/($B10-E$7)/(1+$B10)^DCF!$H$5-DCF!$C$29)/DCF!$C$31,"n/a")</f>
        <v>35.5707455951035</v>
      </c>
      <c r="F10" s="43" t="n">
        <f aca="false">IF($B10&gt;F$7,(SUMPRODUCT(DCF!$D$16:$H$16/(1+$B10)^DCF!$D$18:$H$18)+DCF!$H$16*(1+F$7)/($B10-F$7)/(1+$B10)^DCF!$H$5-DCF!$C$29)/DCF!$C$31,"n/a")</f>
        <v>36.6924293581374</v>
      </c>
      <c r="G10" s="43" t="n">
        <f aca="false">IF($B10&gt;G$7,(SUMPRODUCT(DCF!$D$16:$H$16/(1+$B10)^DCF!$D$18:$H$18)+DCF!$H$16*(1+G$7)/($B10-G$7)/(1+$B10)^DCF!$H$5-DCF!$C$29)/DCF!$C$31,"n/a")</f>
        <v>37.9045342287306</v>
      </c>
    </row>
    <row r="11" customFormat="false" ht="15" hidden="false" customHeight="false" outlineLevel="0" collapsed="false">
      <c r="B11" s="42" t="n">
        <f aca="false">DCF!$C$23+(1)*$C$4</f>
        <v>0.0970255487524828</v>
      </c>
      <c r="C11" s="43" t="n">
        <f aca="false">IF($B11&gt;C$7,(SUMPRODUCT(DCF!$D$16:$H$16/(1+$B11)^DCF!$D$18:$H$18)+DCF!$H$16*(1+C$7)/($B11-C$7)/(1+$B11)^DCF!$H$5-DCF!$C$29)/DCF!$C$31,"n/a")</f>
        <v>31.3003622337586</v>
      </c>
      <c r="D11" s="43" t="n">
        <f aca="false">IF($B11&gt;D$7,(SUMPRODUCT(DCF!$D$16:$H$16/(1+$B11)^DCF!$D$18:$H$18)+DCF!$H$16*(1+D$7)/($B11-D$7)/(1+$B11)^DCF!$H$5-DCF!$C$29)/DCF!$C$31,"n/a")</f>
        <v>32.1301494945574</v>
      </c>
      <c r="E11" s="43" t="n">
        <f aca="false">IF($B11&gt;E$7,(SUMPRODUCT(DCF!$D$16:$H$16/(1+$B11)^DCF!$D$18:$H$18)+DCF!$H$16*(1+E$7)/($B11-E$7)/(1+$B11)^DCF!$H$5-DCF!$C$29)/DCF!$C$31,"n/a")</f>
        <v>33.0175404303833</v>
      </c>
      <c r="F11" s="43" t="n">
        <f aca="false">IF($B11&gt;F$7,(SUMPRODUCT(DCF!$D$16:$H$16/(1+$B11)^DCF!$D$18:$H$18)+DCF!$H$16*(1+F$7)/($B11-F$7)/(1+$B11)^DCF!$H$5-DCF!$C$29)/DCF!$C$31,"n/a")</f>
        <v>33.9687489808666</v>
      </c>
      <c r="G11" s="43" t="n">
        <f aca="false">IF($B11&gt;G$7,(SUMPRODUCT(DCF!$D$16:$H$16/(1+$B11)^DCF!$D$18:$H$18)+DCF!$H$16*(1+G$7)/($B11-G$7)/(1+$B11)^DCF!$H$5-DCF!$C$29)/DCF!$C$31,"n/a")</f>
        <v>34.9909161857875</v>
      </c>
    </row>
    <row r="12" customFormat="false" ht="15" hidden="false" customHeight="false" outlineLevel="0" collapsed="false">
      <c r="B12" s="42" t="n">
        <f aca="false">DCF!$C$23+(2)*$C$4</f>
        <v>0.102025548752483</v>
      </c>
      <c r="C12" s="43" t="n">
        <f aca="false">IF($B12&gt;C$7,(SUMPRODUCT(DCF!$D$16:$H$16/(1+$B12)^DCF!$D$18:$H$18)+DCF!$H$16*(1+C$7)/($B12-C$7)/(1+$B12)^DCF!$H$5-DCF!$C$29)/DCF!$C$31,"n/a")</f>
        <v>29.3190339920858</v>
      </c>
      <c r="D12" s="43" t="n">
        <f aca="false">IF($B12&gt;D$7,(SUMPRODUCT(DCF!$D$16:$H$16/(1+$B12)^DCF!$D$18:$H$18)+DCF!$H$16*(1+D$7)/($B12-D$7)/(1+$B12)^DCF!$H$5-DCF!$C$29)/DCF!$C$31,"n/a")</f>
        <v>30.036086969416</v>
      </c>
      <c r="E12" s="43" t="n">
        <f aca="false">IF($B12&gt;E$7,(SUMPRODUCT(DCF!$D$16:$H$16/(1+$B12)^DCF!$D$18:$H$18)+DCF!$H$16*(1+E$7)/($B12-E$7)/(1+$B12)^DCF!$H$5-DCF!$C$29)/DCF!$C$31,"n/a")</f>
        <v>30.7996863841909</v>
      </c>
      <c r="F12" s="43" t="n">
        <f aca="false">IF($B12&gt;F$7,(SUMPRODUCT(DCF!$D$16:$H$16/(1+$B12)^DCF!$D$18:$H$18)+DCF!$H$16*(1+F$7)/($B12-F$7)/(1+$B12)^DCF!$H$5-DCF!$C$29)/DCF!$C$31,"n/a")</f>
        <v>31.6145165129664</v>
      </c>
      <c r="G12" s="43" t="n">
        <f aca="false">IF($B12&gt;G$7,(SUMPRODUCT(DCF!$D$16:$H$16/(1+$B12)^DCF!$D$18:$H$18)+DCF!$H$16*(1+G$7)/($B12-G$7)/(1+$B12)^DCF!$H$5-DCF!$C$29)/DCF!$C$31,"n/a")</f>
        <v>32.4859119954871</v>
      </c>
    </row>
    <row r="15" customFormat="false" ht="15" hidden="false" customHeight="false" outlineLevel="0" collapsed="false">
      <c r="B15" s="9" t="s">
        <v>194</v>
      </c>
    </row>
    <row r="16" customFormat="false" ht="15" hidden="false" customHeight="false" outlineLevel="0" collapsed="false">
      <c r="B16" s="21" t="s">
        <v>195</v>
      </c>
      <c r="C16" s="44" t="n">
        <f aca="false">DCF!$C$37+(-2)*$G$4</f>
        <v>6.74369298913263</v>
      </c>
      <c r="D16" s="44" t="n">
        <f aca="false">DCF!$C$37+(-1)*$G$4</f>
        <v>7.74369298913263</v>
      </c>
      <c r="E16" s="44" t="n">
        <f aca="false">DCF!$C$37+(0)*$G$4</f>
        <v>8.74369298913263</v>
      </c>
      <c r="F16" s="44" t="n">
        <f aca="false">DCF!$C$37+(1)*$G$4</f>
        <v>9.74369298913263</v>
      </c>
      <c r="G16" s="44" t="n">
        <f aca="false">DCF!$C$37+(2)*$G$4</f>
        <v>10.7436929891326</v>
      </c>
    </row>
    <row r="17" customFormat="false" ht="15" hidden="false" customHeight="false" outlineLevel="0" collapsed="false">
      <c r="B17" s="42" t="n">
        <f aca="false">DCF!$C$23+(-2)*$C$4</f>
        <v>0.0820255487524828</v>
      </c>
      <c r="C17" s="43" t="n">
        <f aca="false">(SUMPRODUCT(DCF!$D$16:$H$16/(1+$B17)^DCF!$D$18:$H$18)+DCF!$H$17*C$16/(1+$B17)^DCF!$H$5-DCF!$C$29)/DCF!$C$31</f>
        <v>28.455128962243</v>
      </c>
      <c r="D17" s="43" t="n">
        <f aca="false">(SUMPRODUCT(DCF!$D$16:$H$16/(1+$B17)^DCF!$D$18:$H$18)+DCF!$H$17*D$16/(1+$B17)^DCF!$H$5-DCF!$C$29)/DCF!$C$31</f>
        <v>31.4002452628691</v>
      </c>
      <c r="E17" s="43" t="n">
        <f aca="false">(SUMPRODUCT(DCF!$D$16:$H$16/(1+$B17)^DCF!$D$18:$H$18)+DCF!$H$17*E$16/(1+$B17)^DCF!$H$5-DCF!$C$29)/DCF!$C$31</f>
        <v>34.3453615634952</v>
      </c>
      <c r="F17" s="43" t="n">
        <f aca="false">(SUMPRODUCT(DCF!$D$16:$H$16/(1+$B17)^DCF!$D$18:$H$18)+DCF!$H$17*F$16/(1+$B17)^DCF!$H$5-DCF!$C$29)/DCF!$C$31</f>
        <v>37.2904778641213</v>
      </c>
      <c r="G17" s="43" t="n">
        <f aca="false">(SUMPRODUCT(DCF!$D$16:$H$16/(1+$B17)^DCF!$D$18:$H$18)+DCF!$H$17*G$16/(1+$B17)^DCF!$H$5-DCF!$C$29)/DCF!$C$31</f>
        <v>40.2355941647474</v>
      </c>
    </row>
    <row r="18" customFormat="false" ht="15" hidden="false" customHeight="false" outlineLevel="0" collapsed="false">
      <c r="B18" s="42" t="n">
        <f aca="false">DCF!$C$23+(-1)*$C$4</f>
        <v>0.0870255487524828</v>
      </c>
      <c r="C18" s="43" t="n">
        <f aca="false">(SUMPRODUCT(DCF!$D$16:$H$16/(1+$B18)^DCF!$D$18:$H$18)+DCF!$H$17*C$16/(1+$B18)^DCF!$H$5-DCF!$C$29)/DCF!$C$31</f>
        <v>27.9028369586455</v>
      </c>
      <c r="D18" s="43" t="n">
        <f aca="false">(SUMPRODUCT(DCF!$D$16:$H$16/(1+$B18)^DCF!$D$18:$H$18)+DCF!$H$17*D$16/(1+$B18)^DCF!$H$5-DCF!$C$29)/DCF!$C$31</f>
        <v>30.7808401336943</v>
      </c>
      <c r="E18" s="43" t="n">
        <f aca="false">(SUMPRODUCT(DCF!$D$16:$H$16/(1+$B18)^DCF!$D$18:$H$18)+DCF!$H$17*E$16/(1+$B18)^DCF!$H$5-DCF!$C$29)/DCF!$C$31</f>
        <v>33.6588433087431</v>
      </c>
      <c r="F18" s="43" t="n">
        <f aca="false">(SUMPRODUCT(DCF!$D$16:$H$16/(1+$B18)^DCF!$D$18:$H$18)+DCF!$H$17*F$16/(1+$B18)^DCF!$H$5-DCF!$C$29)/DCF!$C$31</f>
        <v>36.536846483792</v>
      </c>
      <c r="G18" s="43" t="n">
        <f aca="false">(SUMPRODUCT(DCF!$D$16:$H$16/(1+$B18)^DCF!$D$18:$H$18)+DCF!$H$17*G$16/(1+$B18)^DCF!$H$5-DCF!$C$29)/DCF!$C$31</f>
        <v>39.4148496588408</v>
      </c>
    </row>
    <row r="19" customFormat="false" ht="15" hidden="false" customHeight="false" outlineLevel="0" collapsed="false">
      <c r="B19" s="42" t="n">
        <f aca="false">DCF!$C$23+(0)*$C$4</f>
        <v>0.0920255487524828</v>
      </c>
      <c r="C19" s="43" t="n">
        <f aca="false">(SUMPRODUCT(DCF!$D$16:$H$16/(1+$B19)^DCF!$D$18:$H$18)+DCF!$H$17*C$16/(1+$B19)^DCF!$H$5-DCF!$C$29)/DCF!$C$31</f>
        <v>27.3648685727459</v>
      </c>
      <c r="D19" s="43" t="n">
        <f aca="false">(SUMPRODUCT(DCF!$D$16:$H$16/(1+$B19)^DCF!$D$18:$H$18)+DCF!$H$17*D$16/(1+$B19)^DCF!$H$5-DCF!$C$29)/DCF!$C$31</f>
        <v>30.1775855269853</v>
      </c>
      <c r="E19" s="43" t="n">
        <f aca="false">(SUMPRODUCT(DCF!$D$16:$H$16/(1+$B19)^DCF!$D$18:$H$18)+DCF!$H$17*E$16/(1+$B19)^DCF!$H$5-DCF!$C$29)/DCF!$C$31</f>
        <v>32.9903024812248</v>
      </c>
      <c r="F19" s="43" t="n">
        <f aca="false">(SUMPRODUCT(DCF!$D$16:$H$16/(1+$B19)^DCF!$D$18:$H$18)+DCF!$H$17*F$16/(1+$B19)^DCF!$H$5-DCF!$C$29)/DCF!$C$31</f>
        <v>35.8030194354643</v>
      </c>
      <c r="G19" s="43" t="n">
        <f aca="false">(SUMPRODUCT(DCF!$D$16:$H$16/(1+$B19)^DCF!$D$18:$H$18)+DCF!$H$17*G$16/(1+$B19)^DCF!$H$5-DCF!$C$29)/DCF!$C$31</f>
        <v>38.6157363897038</v>
      </c>
    </row>
    <row r="20" customFormat="false" ht="15" hidden="false" customHeight="false" outlineLevel="0" collapsed="false">
      <c r="B20" s="42" t="n">
        <f aca="false">DCF!$C$23+(1)*$C$4</f>
        <v>0.0970255487524828</v>
      </c>
      <c r="C20" s="43" t="n">
        <f aca="false">(SUMPRODUCT(DCF!$D$16:$H$16/(1+$B20)^DCF!$D$18:$H$18)+DCF!$H$17*C$16/(1+$B20)^DCF!$H$5-DCF!$C$29)/DCF!$C$31</f>
        <v>26.840782558857</v>
      </c>
      <c r="D20" s="43" t="n">
        <f aca="false">(SUMPRODUCT(DCF!$D$16:$H$16/(1+$B20)^DCF!$D$18:$H$18)+DCF!$H$17*D$16/(1+$B20)^DCF!$H$5-DCF!$C$29)/DCF!$C$31</f>
        <v>29.5899824403638</v>
      </c>
      <c r="E20" s="43" t="n">
        <f aca="false">(SUMPRODUCT(DCF!$D$16:$H$16/(1+$B20)^DCF!$D$18:$H$18)+DCF!$H$17*E$16/(1+$B20)^DCF!$H$5-DCF!$C$29)/DCF!$C$31</f>
        <v>32.3391823218707</v>
      </c>
      <c r="F20" s="43" t="n">
        <f aca="false">(SUMPRODUCT(DCF!$D$16:$H$16/(1+$B20)^DCF!$D$18:$H$18)+DCF!$H$17*F$16/(1+$B20)^DCF!$H$5-DCF!$C$29)/DCF!$C$31</f>
        <v>35.0883822033775</v>
      </c>
      <c r="G20" s="43" t="n">
        <f aca="false">(SUMPRODUCT(DCF!$D$16:$H$16/(1+$B20)^DCF!$D$18:$H$18)+DCF!$H$17*G$16/(1+$B20)^DCF!$H$5-DCF!$C$29)/DCF!$C$31</f>
        <v>37.8375820848843</v>
      </c>
    </row>
    <row r="21" customFormat="false" ht="15" hidden="false" customHeight="false" outlineLevel="0" collapsed="false">
      <c r="B21" s="42" t="n">
        <f aca="false">DCF!$C$23+(2)*$C$4</f>
        <v>0.102025548752483</v>
      </c>
      <c r="C21" s="43" t="n">
        <f aca="false">(SUMPRODUCT(DCF!$D$16:$H$16/(1+$B21)^DCF!$D$18:$H$18)+DCF!$H$17*C$16/(1+$B21)^DCF!$H$5-DCF!$C$29)/DCF!$C$31</f>
        <v>26.330153281842</v>
      </c>
      <c r="D21" s="43" t="n">
        <f aca="false">(SUMPRODUCT(DCF!$D$16:$H$16/(1+$B21)^DCF!$D$18:$H$18)+DCF!$H$17*D$16/(1+$B21)^DCF!$H$5-DCF!$C$29)/DCF!$C$31</f>
        <v>29.0175495594045</v>
      </c>
      <c r="E21" s="43" t="n">
        <f aca="false">(SUMPRODUCT(DCF!$D$16:$H$16/(1+$B21)^DCF!$D$18:$H$18)+DCF!$H$17*E$16/(1+$B21)^DCF!$H$5-DCF!$C$29)/DCF!$C$31</f>
        <v>31.704945836967</v>
      </c>
      <c r="F21" s="43" t="n">
        <f aca="false">(SUMPRODUCT(DCF!$D$16:$H$16/(1+$B21)^DCF!$D$18:$H$18)+DCF!$H$17*F$16/(1+$B21)^DCF!$H$5-DCF!$C$29)/DCF!$C$31</f>
        <v>34.3923421145295</v>
      </c>
      <c r="G21" s="43" t="n">
        <f aca="false">(SUMPRODUCT(DCF!$D$16:$H$16/(1+$B21)^DCF!$D$18:$H$18)+DCF!$H$17*G$16/(1+$B21)^DCF!$H$5-DCF!$C$29)/DCF!$C$31</f>
        <v>37.079738392092</v>
      </c>
    </row>
    <row r="23" customFormat="false" ht="15" hidden="false" customHeight="false" outlineLevel="0" collapsed="false">
      <c r="B23" s="21" t="s">
        <v>196</v>
      </c>
      <c r="C23" s="43" t="n">
        <f aca="false">Assumptions!$C$17</f>
        <v>33.8699989318848</v>
      </c>
    </row>
  </sheetData>
  <conditionalFormatting sqref="C8:G12">
    <cfRule type="colorScale" priority="2">
      <colorScale>
        <cfvo type="min" val="0"/>
        <cfvo type="percentile" val="50"/>
        <cfvo type="max" val="0"/>
        <color rgb="FFF4CCCC"/>
        <color rgb="FFFFFFFF"/>
        <color rgb="FFC9E7D2"/>
      </colorScale>
    </cfRule>
  </conditionalFormatting>
  <conditionalFormatting sqref="C17:G21">
    <cfRule type="colorScale" priority="3">
      <colorScale>
        <cfvo type="min" val="0"/>
        <cfvo type="percentile" val="50"/>
        <cfvo type="max" val="0"/>
        <color rgb="FFF4CCCC"/>
        <color rgb="FFFFFFFF"/>
        <color rgb="FFC9E7D2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Q2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30"/>
    <col collapsed="false" customWidth="true" hidden="false" outlineLevel="0" max="17" min="4" style="0" width="12"/>
  </cols>
  <sheetData>
    <row r="1" customFormat="false" ht="17.35" hidden="false" customHeight="false" outlineLevel="0" collapsed="false">
      <c r="B1" s="12" t="s">
        <v>197</v>
      </c>
    </row>
    <row r="2" customFormat="false" ht="15" hidden="false" customHeight="false" outlineLevel="0" collapsed="false">
      <c r="B2" s="3" t="s">
        <v>198</v>
      </c>
    </row>
    <row r="4" customFormat="false" ht="23.85" hidden="false" customHeight="false" outlineLevel="0" collapsed="false">
      <c r="B4" s="23" t="s">
        <v>199</v>
      </c>
      <c r="C4" s="24" t="s">
        <v>128</v>
      </c>
      <c r="D4" s="24" t="s">
        <v>200</v>
      </c>
      <c r="E4" s="24" t="s">
        <v>201</v>
      </c>
      <c r="F4" s="24" t="s">
        <v>202</v>
      </c>
      <c r="G4" s="24" t="s">
        <v>203</v>
      </c>
      <c r="H4" s="24" t="s">
        <v>204</v>
      </c>
      <c r="I4" s="24" t="s">
        <v>205</v>
      </c>
      <c r="J4" s="24" t="s">
        <v>178</v>
      </c>
      <c r="K4" s="24" t="s">
        <v>96</v>
      </c>
      <c r="L4" s="24" t="s">
        <v>101</v>
      </c>
      <c r="M4" s="24" t="s">
        <v>105</v>
      </c>
      <c r="N4" s="24" t="s">
        <v>206</v>
      </c>
      <c r="O4" s="24" t="s">
        <v>207</v>
      </c>
      <c r="P4" s="24" t="s">
        <v>208</v>
      </c>
      <c r="Q4" s="24" t="s">
        <v>61</v>
      </c>
    </row>
    <row r="5" customFormat="false" ht="15" hidden="false" customHeight="false" outlineLevel="0" collapsed="false">
      <c r="B5" s="10" t="s">
        <v>138</v>
      </c>
      <c r="C5" s="10" t="s">
        <v>209</v>
      </c>
      <c r="D5" s="17" t="n">
        <v>2025</v>
      </c>
      <c r="E5" s="18" t="n">
        <v>94.4599990844727</v>
      </c>
      <c r="F5" s="19" t="n">
        <v>105.594064</v>
      </c>
      <c r="G5" s="25" t="n">
        <f aca="false">E5*F5</f>
        <v>9974.41518876575</v>
      </c>
      <c r="H5" s="20" t="n">
        <v>0</v>
      </c>
      <c r="I5" s="20" t="n">
        <v>1389.737</v>
      </c>
      <c r="J5" s="25" t="n">
        <f aca="false">G5+H5-I5</f>
        <v>8584.67818876575</v>
      </c>
      <c r="K5" s="20" t="n">
        <v>11102.6</v>
      </c>
      <c r="L5" s="20" t="n">
        <v>2706.843</v>
      </c>
      <c r="M5" s="20" t="n">
        <v>1579.183</v>
      </c>
      <c r="N5" s="27" t="n">
        <f aca="false">IFERROR(J5/K5,"")</f>
        <v>0.773213318390805</v>
      </c>
      <c r="O5" s="27" t="n">
        <f aca="false">IF(AND(L5&gt;0,J5/L5&lt;=60,J5&gt;0),J5/L5,"")</f>
        <v>3.17147251937617</v>
      </c>
      <c r="P5" s="27" t="n">
        <f aca="false">IF(AND(M5&gt;0,G5/M5&lt;=100),G5/M5,"")</f>
        <v>6.31618703390661</v>
      </c>
      <c r="Q5" s="14" t="n">
        <v>0.199107866625835</v>
      </c>
    </row>
    <row r="6" customFormat="false" ht="15" hidden="false" customHeight="false" outlineLevel="0" collapsed="false">
      <c r="B6" s="10" t="s">
        <v>140</v>
      </c>
      <c r="C6" s="10" t="s">
        <v>210</v>
      </c>
      <c r="D6" s="17" t="n">
        <v>2026</v>
      </c>
      <c r="E6" s="18" t="n">
        <v>79.120002746582</v>
      </c>
      <c r="F6" s="19" t="n">
        <v>136.414227</v>
      </c>
      <c r="G6" s="25" t="n">
        <f aca="false">E6*F6</f>
        <v>10793.0940149129</v>
      </c>
      <c r="H6" s="20" t="n">
        <v>0</v>
      </c>
      <c r="I6" s="20" t="n">
        <v>1602.589</v>
      </c>
      <c r="J6" s="25" t="n">
        <f aca="false">G6+H6-I6</f>
        <v>9190.50501491287</v>
      </c>
      <c r="K6" s="20" t="n">
        <v>5472.296</v>
      </c>
      <c r="L6" s="20" t="n">
        <v>1338.676</v>
      </c>
      <c r="M6" s="20" t="n">
        <v>1024.071</v>
      </c>
      <c r="N6" s="27" t="n">
        <f aca="false">IFERROR(J6/K6,"")</f>
        <v>1.6794605070546</v>
      </c>
      <c r="O6" s="27" t="n">
        <f aca="false">IF(AND(L6&gt;0,J6/L6&lt;=60,J6&gt;0),J6/L6,"")</f>
        <v>6.86536922669329</v>
      </c>
      <c r="P6" s="27" t="n">
        <f aca="false">IF(AND(M6&gt;0,G6/M6&lt;=100),G6/M6,"")</f>
        <v>10.5394001147507</v>
      </c>
      <c r="Q6" s="14" t="n">
        <v>0.230781193122594</v>
      </c>
    </row>
    <row r="7" customFormat="false" ht="15" hidden="false" customHeight="false" outlineLevel="0" collapsed="false">
      <c r="B7" s="10" t="s">
        <v>141</v>
      </c>
      <c r="C7" s="10" t="s">
        <v>211</v>
      </c>
      <c r="D7" s="17" t="n">
        <v>2025</v>
      </c>
      <c r="E7" s="18" t="n">
        <v>118.089996337891</v>
      </c>
      <c r="F7" s="19" t="n">
        <v>47.945075</v>
      </c>
      <c r="G7" s="25" t="n">
        <f aca="false">E7*F7</f>
        <v>5661.83373116989</v>
      </c>
      <c r="H7" s="20" t="n">
        <v>1334</v>
      </c>
      <c r="I7" s="20" t="n">
        <v>170.276</v>
      </c>
      <c r="J7" s="25" t="n">
        <f aca="false">G7+H7-I7</f>
        <v>6825.55773116989</v>
      </c>
      <c r="K7" s="20" t="n">
        <v>4040.647</v>
      </c>
      <c r="L7" s="20" t="n">
        <v>228.797</v>
      </c>
      <c r="M7" s="20" t="n">
        <v>-81.198</v>
      </c>
      <c r="N7" s="27" t="n">
        <f aca="false">IFERROR(J7/K7,"")</f>
        <v>1.6892239612047</v>
      </c>
      <c r="O7" s="27" t="n">
        <f aca="false">IF(AND(L7&gt;0,J7/L7&lt;=60,J7&gt;0),J7/L7,"")</f>
        <v>29.8323742495308</v>
      </c>
      <c r="P7" s="27" t="str">
        <f aca="false">IF(AND(M7&gt;0,G7/M7&lt;=100),G7/M7,"")</f>
        <v/>
      </c>
      <c r="Q7" s="14" t="n">
        <v>0.0370027374328913</v>
      </c>
    </row>
    <row r="8" customFormat="false" ht="15" hidden="false" customHeight="false" outlineLevel="0" collapsed="false">
      <c r="B8" s="10" t="s">
        <v>142</v>
      </c>
      <c r="C8" s="10" t="s">
        <v>212</v>
      </c>
      <c r="D8" s="17" t="n">
        <v>2026</v>
      </c>
      <c r="E8" s="18" t="n">
        <v>4.71000003814697</v>
      </c>
      <c r="F8" s="19" t="n">
        <v>431.937</v>
      </c>
      <c r="G8" s="25" t="n">
        <f aca="false">E8*F8</f>
        <v>2034.42328647709</v>
      </c>
      <c r="H8" s="20" t="n">
        <v>591.158</v>
      </c>
      <c r="I8" s="20" t="n">
        <v>395.981</v>
      </c>
      <c r="J8" s="25" t="n">
        <f aca="false">G8+H8-I8</f>
        <v>2229.60028647709</v>
      </c>
      <c r="K8" s="20" t="n">
        <v>4966.37</v>
      </c>
      <c r="L8" s="20" t="n">
        <v>-53.489</v>
      </c>
      <c r="M8" s="20" t="n">
        <v>-495.643</v>
      </c>
      <c r="N8" s="27" t="n">
        <f aca="false">IFERROR(J8/K8,"")</f>
        <v>0.448939625214611</v>
      </c>
      <c r="O8" s="27" t="str">
        <f aca="false">IF(AND(L8&gt;0,J8/L8&lt;=60,J8&gt;0),J8/L8,"")</f>
        <v/>
      </c>
      <c r="P8" s="27" t="str">
        <f aca="false">IF(AND(M8&gt;0,G8/M8&lt;=100),G8/M8,"")</f>
        <v/>
      </c>
      <c r="Q8" s="14" t="n">
        <v>-0.0328433040631286</v>
      </c>
    </row>
    <row r="9" customFormat="false" ht="15" hidden="false" customHeight="false" outlineLevel="0" collapsed="false">
      <c r="B9" s="10" t="s">
        <v>143</v>
      </c>
      <c r="C9" s="10" t="s">
        <v>213</v>
      </c>
      <c r="D9" s="17" t="n">
        <v>2026</v>
      </c>
      <c r="E9" s="18" t="n">
        <v>14.3299999237061</v>
      </c>
      <c r="F9" s="19" t="n">
        <v>391.769705</v>
      </c>
      <c r="G9" s="25" t="n">
        <f aca="false">E9*F9</f>
        <v>5614.05984276034</v>
      </c>
      <c r="H9" s="20" t="n">
        <v>3530.009</v>
      </c>
      <c r="I9" s="20" t="n">
        <v>823.943</v>
      </c>
      <c r="J9" s="25" t="n">
        <f aca="false">G9+H9-I9</f>
        <v>8320.12584276034</v>
      </c>
      <c r="K9" s="20" t="n">
        <v>9605.207</v>
      </c>
      <c r="L9" s="20" t="n">
        <v>857.098</v>
      </c>
      <c r="M9" s="20" t="n">
        <v>254.92</v>
      </c>
      <c r="N9" s="27" t="n">
        <f aca="false">IFERROR(J9/K9,"")</f>
        <v>0.866209946621696</v>
      </c>
      <c r="O9" s="27" t="n">
        <f aca="false">IF(AND(L9&gt;0,J9/L9&lt;=60,J9&gt;0),J9/L9,"")</f>
        <v>9.70732149971222</v>
      </c>
      <c r="P9" s="27" t="n">
        <f aca="false">IF(AND(M9&gt;0,G9/M9&lt;=100),G9/M9,"")</f>
        <v>22.0228300751622</v>
      </c>
      <c r="Q9" s="14" t="n">
        <v>0.0600267125945334</v>
      </c>
    </row>
    <row r="10" customFormat="false" ht="15" hidden="false" customHeight="false" outlineLevel="0" collapsed="false">
      <c r="B10" s="10" t="s">
        <v>144</v>
      </c>
      <c r="C10" s="10" t="s">
        <v>214</v>
      </c>
      <c r="D10" s="17" t="n">
        <v>2025</v>
      </c>
      <c r="E10" s="18" t="n">
        <v>57.2700004577637</v>
      </c>
      <c r="F10" s="19" t="n">
        <v>51.193194</v>
      </c>
      <c r="G10" s="25" t="n">
        <f aca="false">E10*F10</f>
        <v>2931.83424381438</v>
      </c>
      <c r="H10" s="20" t="n">
        <v>0</v>
      </c>
      <c r="I10" s="20" t="n">
        <v>624.601</v>
      </c>
      <c r="J10" s="25" t="n">
        <f aca="false">G10+H10-I10</f>
        <v>2307.23324381438</v>
      </c>
      <c r="K10" s="20" t="n">
        <v>3397.351</v>
      </c>
      <c r="L10" s="20" t="n">
        <v>263.874</v>
      </c>
      <c r="M10" s="20" t="n">
        <v>177.224</v>
      </c>
      <c r="N10" s="27" t="n">
        <f aca="false">IFERROR(J10/K10,"")</f>
        <v>0.67912713282036</v>
      </c>
      <c r="O10" s="27" t="n">
        <f aca="false">IF(AND(L10&gt;0,J10/L10&lt;=60,J10&gt;0),J10/L10,"")</f>
        <v>8.74369298913263</v>
      </c>
      <c r="P10" s="27" t="n">
        <f aca="false">IF(AND(M10&gt;0,G10/M10&lt;=100),G10/M10,"")</f>
        <v>16.5430993760122</v>
      </c>
      <c r="Q10" s="14" t="n">
        <v>0.0609413039747733</v>
      </c>
    </row>
    <row r="11" customFormat="false" ht="15" hidden="false" customHeight="false" outlineLevel="0" collapsed="false">
      <c r="B11" s="45" t="s">
        <v>136</v>
      </c>
      <c r="C11" s="45" t="s">
        <v>215</v>
      </c>
      <c r="D11" s="46" t="n">
        <v>2026</v>
      </c>
      <c r="E11" s="47" t="n">
        <v>33.8699989318848</v>
      </c>
      <c r="F11" s="48" t="n">
        <v>1484.2</v>
      </c>
      <c r="G11" s="49" t="n">
        <f aca="false">E11*F11</f>
        <v>50269.8524147034</v>
      </c>
      <c r="H11" s="50" t="n">
        <v>7893</v>
      </c>
      <c r="I11" s="50" t="n">
        <v>8368</v>
      </c>
      <c r="J11" s="49" t="n">
        <f aca="false">G11+H11-I11</f>
        <v>49794.8524147034</v>
      </c>
      <c r="K11" s="50" t="n">
        <v>46398</v>
      </c>
      <c r="L11" s="50" t="n">
        <v>4544</v>
      </c>
      <c r="M11" s="50" t="n">
        <v>3108</v>
      </c>
      <c r="N11" s="51" t="n">
        <f aca="false">IFERROR(J11/K11,"")</f>
        <v>1.07321118183334</v>
      </c>
      <c r="O11" s="51" t="n">
        <f aca="false">IF(AND(L11&gt;0,J11/L11&lt;=60,J11&gt;0),J11/L11,"")</f>
        <v>10.9583742109823</v>
      </c>
      <c r="P11" s="51" t="n">
        <f aca="false">IF(AND(M11&gt;0,G11/M11&lt;=100),G11/M11,"")</f>
        <v>16.174341188772</v>
      </c>
      <c r="Q11" s="52" t="n">
        <v>0.0818354239406871</v>
      </c>
    </row>
    <row r="13" customFormat="false" ht="15" hidden="false" customHeight="false" outlineLevel="0" collapsed="false">
      <c r="C13" s="21" t="s">
        <v>216</v>
      </c>
      <c r="N13" s="53" t="n">
        <f aca="false">IFERROR(QUARTILE(N5:N10,1),"")</f>
        <v>0.702648679212972</v>
      </c>
      <c r="O13" s="53" t="n">
        <f aca="false">IFERROR(QUARTILE(O5:O10,1),"")</f>
        <v>6.86536922669329</v>
      </c>
      <c r="P13" s="53" t="n">
        <f aca="false">IFERROR(QUARTILE(P5:P10,1),"")</f>
        <v>9.48359684453968</v>
      </c>
      <c r="Q13" s="54" t="n">
        <f aca="false">IFERROR(QUARTILE(Q5:Q10,1),"")</f>
        <v>0.0427587312233018</v>
      </c>
    </row>
    <row r="14" customFormat="false" ht="15" hidden="false" customHeight="false" outlineLevel="0" collapsed="false">
      <c r="C14" s="21" t="s">
        <v>217</v>
      </c>
      <c r="N14" s="53" t="n">
        <f aca="false">IFERROR(MEDIAN(N5:N10),"")</f>
        <v>0.819711632506251</v>
      </c>
      <c r="O14" s="53" t="n">
        <f aca="false">IFERROR(MEDIAN(O5:O10),"")</f>
        <v>8.74369298913263</v>
      </c>
      <c r="P14" s="53" t="n">
        <f aca="false">IFERROR(MEDIAN(P5:P10),"")</f>
        <v>13.5412497453814</v>
      </c>
      <c r="Q14" s="54" t="n">
        <f aca="false">IFERROR(MEDIAN(Q5:Q10),"")</f>
        <v>0.0604840082846533</v>
      </c>
    </row>
    <row r="15" customFormat="false" ht="15" hidden="false" customHeight="false" outlineLevel="0" collapsed="false">
      <c r="C15" s="21" t="s">
        <v>218</v>
      </c>
      <c r="N15" s="53" t="n">
        <f aca="false">IFERROR(QUARTILE(N5:N10,3),"")</f>
        <v>1.47614786694637</v>
      </c>
      <c r="O15" s="53" t="n">
        <f aca="false">IFERROR(QUARTILE(O5:O10,3),"")</f>
        <v>9.70732149971222</v>
      </c>
      <c r="P15" s="53" t="n">
        <f aca="false">IFERROR(QUARTILE(P5:P10,3),"")</f>
        <v>17.9130320507997</v>
      </c>
      <c r="Q15" s="54" t="n">
        <f aca="false">IFERROR(QUARTILE(Q5:Q10,3),"")</f>
        <v>0.16456622596307</v>
      </c>
    </row>
    <row r="17" customFormat="false" ht="15" hidden="false" customHeight="false" outlineLevel="0" collapsed="false">
      <c r="B17" s="9" t="s">
        <v>219</v>
      </c>
    </row>
    <row r="18" customFormat="false" ht="15" hidden="false" customHeight="false" outlineLevel="0" collapsed="false">
      <c r="B18" s="23"/>
      <c r="C18" s="24" t="s">
        <v>220</v>
      </c>
      <c r="D18" s="24" t="s">
        <v>221</v>
      </c>
      <c r="E18" s="24" t="s">
        <v>222</v>
      </c>
      <c r="F18" s="24" t="s">
        <v>223</v>
      </c>
    </row>
    <row r="19" customFormat="false" ht="15" hidden="false" customHeight="false" outlineLevel="0" collapsed="false">
      <c r="C19" s="21" t="s">
        <v>207</v>
      </c>
      <c r="D19" s="43" t="n">
        <f aca="false">IFERROR((O13*L11-(Assumptions!$C$22))/F11,"")</f>
        <v>21.3389285582093</v>
      </c>
      <c r="E19" s="43" t="n">
        <f aca="false">IFERROR((O14*L11-(Assumptions!$C$22))/F11,"")</f>
        <v>27.0895707738975</v>
      </c>
      <c r="F19" s="43" t="n">
        <f aca="false">IFERROR((O15*L11-(Assumptions!$C$22))/F11,"")</f>
        <v>30.039798473718</v>
      </c>
    </row>
    <row r="20" customFormat="false" ht="15" hidden="false" customHeight="false" outlineLevel="0" collapsed="false">
      <c r="C20" s="21" t="s">
        <v>208</v>
      </c>
      <c r="D20" s="55" t="n">
        <f aca="false">IFERROR(P13*M11/F11,"")</f>
        <v>19.8591961951417</v>
      </c>
      <c r="E20" s="55" t="n">
        <f aca="false">IFERROR(P14*M11/F11,"")</f>
        <v>28.3561542976995</v>
      </c>
      <c r="F20" s="55" t="n">
        <f aca="false">IFERROR(P15*M11/F11,"")</f>
        <v>37.5109174059328</v>
      </c>
    </row>
    <row r="21" customFormat="false" ht="15" hidden="false" customHeight="false" outlineLevel="0" collapsed="false">
      <c r="C21" s="21" t="s">
        <v>206</v>
      </c>
      <c r="D21" s="43" t="n">
        <f aca="false">IFERROR((N13*K11-(Assumptions!$C$22))/F11,"")</f>
        <v>22.2857387266699</v>
      </c>
      <c r="E21" s="43" t="n">
        <f aca="false">IFERROR((N14*K11-(Assumptions!$C$22))/F11,"")</f>
        <v>25.9452771358476</v>
      </c>
      <c r="F21" s="43" t="n">
        <f aca="false">IFERROR((N15*K11-(Assumptions!$C$22))/F11,"")</f>
        <v>46.4663177001603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false"/>
  </sheetPr>
  <dimension ref="B1:I2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5" min="3" style="0" width="14"/>
    <col collapsed="false" customWidth="true" hidden="false" outlineLevel="0" max="6" min="6" style="0" width="40"/>
  </cols>
  <sheetData>
    <row r="1" customFormat="false" ht="17.35" hidden="false" customHeight="false" outlineLevel="0" collapsed="false">
      <c r="B1" s="12" t="s">
        <v>224</v>
      </c>
    </row>
    <row r="2" customFormat="false" ht="15" hidden="false" customHeight="false" outlineLevel="0" collapsed="false">
      <c r="B2" s="3" t="s">
        <v>225</v>
      </c>
    </row>
    <row r="4" customFormat="false" ht="15" hidden="false" customHeight="false" outlineLevel="0" collapsed="false">
      <c r="B4" s="23" t="s">
        <v>220</v>
      </c>
      <c r="C4" s="24" t="s">
        <v>226</v>
      </c>
      <c r="D4" s="24" t="s">
        <v>227</v>
      </c>
      <c r="E4" s="24" t="s">
        <v>228</v>
      </c>
      <c r="F4" s="24" t="s">
        <v>229</v>
      </c>
      <c r="H4" s="56" t="s">
        <v>230</v>
      </c>
    </row>
    <row r="5" customFormat="false" ht="15" hidden="false" customHeight="false" outlineLevel="0" collapsed="false">
      <c r="B5" s="10" t="s">
        <v>231</v>
      </c>
      <c r="C5" s="18" t="n">
        <v>33.8699989318848</v>
      </c>
      <c r="D5" s="18" t="n">
        <v>71.9300003051758</v>
      </c>
      <c r="E5" s="55" t="n">
        <f aca="false">IFERROR((C5+D5)/2,"")</f>
        <v>52.8999996185303</v>
      </c>
      <c r="F5" s="3" t="s">
        <v>232</v>
      </c>
      <c r="H5" s="10" t="s">
        <v>233</v>
      </c>
      <c r="I5" s="10" t="s">
        <v>234</v>
      </c>
    </row>
    <row r="6" customFormat="false" ht="15" hidden="false" customHeight="false" outlineLevel="0" collapsed="false">
      <c r="B6" s="10" t="s">
        <v>235</v>
      </c>
      <c r="C6" s="43" t="n">
        <f aca="false">Comps!$D$19</f>
        <v>21.3389285582093</v>
      </c>
      <c r="D6" s="43" t="n">
        <f aca="false">Comps!$F$19</f>
        <v>30.039798473718</v>
      </c>
      <c r="E6" s="55" t="n">
        <f aca="false">IFERROR((C6+D6)/2,"")</f>
        <v>25.6893635159637</v>
      </c>
      <c r="F6" s="3" t="s">
        <v>236</v>
      </c>
      <c r="G6" s="57" t="str">
        <f aca="false">B5</f>
        <v>52-week trading range (closing prices)</v>
      </c>
      <c r="H6" s="58" t="n">
        <f aca="false">C5</f>
        <v>33.8699989318848</v>
      </c>
      <c r="I6" s="58" t="n">
        <f aca="false">D5-C5</f>
        <v>38.060001373291</v>
      </c>
    </row>
    <row r="7" customFormat="false" ht="15" hidden="false" customHeight="false" outlineLevel="0" collapsed="false">
      <c r="B7" s="10" t="s">
        <v>237</v>
      </c>
      <c r="C7" s="43" t="n">
        <f aca="false">Comps!$D$20</f>
        <v>19.8591961951417</v>
      </c>
      <c r="D7" s="43" t="n">
        <f aca="false">Comps!$F$20</f>
        <v>37.5109174059328</v>
      </c>
      <c r="E7" s="55" t="n">
        <f aca="false">IFERROR((C7+D7)/2,"")</f>
        <v>28.6850568005372</v>
      </c>
      <c r="F7" s="3" t="s">
        <v>236</v>
      </c>
      <c r="G7" s="57" t="str">
        <f aca="false">B6</f>
        <v>Trading comps: EV / EBITDA (peer Q1–Q3)</v>
      </c>
      <c r="H7" s="58" t="n">
        <f aca="false">C6</f>
        <v>21.3389285582093</v>
      </c>
      <c r="I7" s="58" t="n">
        <f aca="false">D6-C6</f>
        <v>8.7008699155087</v>
      </c>
    </row>
    <row r="8" customFormat="false" ht="15" hidden="false" customHeight="false" outlineLevel="0" collapsed="false">
      <c r="B8" s="10" t="s">
        <v>238</v>
      </c>
      <c r="C8" s="43" t="n">
        <f aca="false">MIN(Sensitivity!$D$9:$F$11)</f>
        <v>32.1301494945574</v>
      </c>
      <c r="D8" s="43" t="n">
        <f aca="false">MAX(Sensitivity!$D$9:$F$11)</f>
        <v>39.8788339298515</v>
      </c>
      <c r="E8" s="55" t="n">
        <f aca="false">IFERROR((C8+D8)/2,"")</f>
        <v>36.0044917122044</v>
      </c>
      <c r="F8" s="3" t="s">
        <v>239</v>
      </c>
      <c r="G8" s="57" t="str">
        <f aca="false">B7</f>
        <v>Trading comps: P / E (peer Q1–Q3)</v>
      </c>
      <c r="H8" s="58" t="n">
        <f aca="false">C7</f>
        <v>19.8591961951417</v>
      </c>
      <c r="I8" s="58" t="n">
        <f aca="false">D7-C7</f>
        <v>17.6517212107911</v>
      </c>
    </row>
    <row r="9" customFormat="false" ht="15" hidden="false" customHeight="false" outlineLevel="0" collapsed="false">
      <c r="B9" s="10" t="s">
        <v>240</v>
      </c>
      <c r="C9" s="43" t="n">
        <f aca="false">MIN(Sensitivity!$D$18:$F$20)</f>
        <v>29.5899824403638</v>
      </c>
      <c r="D9" s="43" t="n">
        <f aca="false">MAX(Sensitivity!$D$18:$F$20)</f>
        <v>36.536846483792</v>
      </c>
      <c r="E9" s="55" t="n">
        <f aca="false">IFERROR((C9+D9)/2,"")</f>
        <v>33.0634144620779</v>
      </c>
      <c r="F9" s="3" t="s">
        <v>239</v>
      </c>
      <c r="G9" s="57" t="str">
        <f aca="false">B8</f>
        <v>DCF: perpetuity growth (WACC ±0.5pp, g ±0.25pp)</v>
      </c>
      <c r="H9" s="58" t="n">
        <f aca="false">C8</f>
        <v>32.1301494945574</v>
      </c>
      <c r="I9" s="58" t="n">
        <f aca="false">D8-C8</f>
        <v>7.74868443529416</v>
      </c>
    </row>
    <row r="10" customFormat="false" ht="15" hidden="false" customHeight="false" outlineLevel="0" collapsed="false">
      <c r="B10" s="10" t="s">
        <v>241</v>
      </c>
      <c r="C10" s="18" t="n">
        <v>22.5027008103501</v>
      </c>
      <c r="D10" s="18" t="n">
        <v>58.5313128589615</v>
      </c>
      <c r="E10" s="55" t="n">
        <f aca="false">IFERROR((C10+D10)/2,"")</f>
        <v>40.5170068346558</v>
      </c>
      <c r="F10" s="3" t="s">
        <v>242</v>
      </c>
      <c r="G10" s="57" t="str">
        <f aca="false">B9</f>
        <v>DCF: exit multiple (WACC ±0.5pp, multiple ±1x)</v>
      </c>
      <c r="H10" s="58" t="n">
        <f aca="false">C9</f>
        <v>29.5899824403638</v>
      </c>
      <c r="I10" s="58" t="n">
        <f aca="false">D9-C9</f>
        <v>6.94686404342816</v>
      </c>
    </row>
    <row r="11" customFormat="false" ht="15" hidden="false" customHeight="false" outlineLevel="0" collapsed="false">
      <c r="G11" s="57" t="str">
        <f aca="false">B10</f>
        <v>Scenarios: bear to bull (DCF snapshot)</v>
      </c>
      <c r="H11" s="58" t="n">
        <f aca="false">C10</f>
        <v>22.5027008103501</v>
      </c>
      <c r="I11" s="58" t="n">
        <f aca="false">D10-C10</f>
        <v>36.0286120486115</v>
      </c>
    </row>
    <row r="12" customFormat="false" ht="15" hidden="false" customHeight="false" outlineLevel="0" collapsed="false">
      <c r="B12" s="9" t="s">
        <v>243</v>
      </c>
    </row>
    <row r="13" customFormat="false" ht="15" hidden="false" customHeight="false" outlineLevel="0" collapsed="false">
      <c r="B13" s="23" t="s">
        <v>244</v>
      </c>
      <c r="C13" s="24" t="s">
        <v>245</v>
      </c>
      <c r="D13" s="24" t="s">
        <v>246</v>
      </c>
      <c r="E13" s="24" t="s">
        <v>247</v>
      </c>
    </row>
    <row r="14" customFormat="false" ht="15" hidden="false" customHeight="false" outlineLevel="0" collapsed="false">
      <c r="B14" s="10" t="s">
        <v>248</v>
      </c>
      <c r="C14" s="43" t="n">
        <f aca="false">DCF!$C$32</f>
        <v>35.5707455951035</v>
      </c>
      <c r="D14" s="31" t="n">
        <f aca="false">Assumptions!$C$42</f>
        <v>0.5</v>
      </c>
      <c r="E14" s="55" t="n">
        <f aca="false">IFERROR(C14*D14,0)</f>
        <v>17.7853727975517</v>
      </c>
    </row>
    <row r="15" customFormat="false" ht="15" hidden="false" customHeight="false" outlineLevel="0" collapsed="false">
      <c r="B15" s="10" t="s">
        <v>249</v>
      </c>
      <c r="C15" s="43" t="n">
        <f aca="false">DCF!$C$42</f>
        <v>32.9903024812248</v>
      </c>
      <c r="D15" s="31" t="n">
        <f aca="false">Assumptions!$C$43</f>
        <v>0.25</v>
      </c>
      <c r="E15" s="55" t="n">
        <f aca="false">IFERROR(C15*D15,0)</f>
        <v>8.2475756203062</v>
      </c>
    </row>
    <row r="16" customFormat="false" ht="15" hidden="false" customHeight="false" outlineLevel="0" collapsed="false">
      <c r="B16" s="10" t="s">
        <v>250</v>
      </c>
      <c r="C16" s="43" t="n">
        <f aca="false">Comps!$E$19</f>
        <v>27.0895707738975</v>
      </c>
      <c r="D16" s="31" t="n">
        <f aca="false">Assumptions!$C$44</f>
        <v>0.25</v>
      </c>
      <c r="E16" s="55" t="n">
        <f aca="false">IFERROR(C16*D16,0)</f>
        <v>6.77239269347438</v>
      </c>
    </row>
    <row r="17" customFormat="false" ht="15" hidden="false" customHeight="false" outlineLevel="0" collapsed="false">
      <c r="B17" s="21" t="s">
        <v>251</v>
      </c>
      <c r="C17" s="59" t="n">
        <f aca="false">SUM(E14:E16)/SUMPRODUCT(--ISNUMBER(C14:C16),D14:D16)</f>
        <v>32.8053411113323</v>
      </c>
    </row>
    <row r="18" customFormat="false" ht="15" hidden="false" customHeight="false" outlineLevel="0" collapsed="false">
      <c r="B18" s="10" t="s">
        <v>196</v>
      </c>
      <c r="C18" s="43" t="n">
        <f aca="false">Assumptions!$C$17</f>
        <v>33.8699989318848</v>
      </c>
    </row>
    <row r="19" customFormat="false" ht="15" hidden="false" customHeight="false" outlineLevel="0" collapsed="false">
      <c r="B19" s="21" t="s">
        <v>252</v>
      </c>
      <c r="C19" s="32" t="n">
        <f aca="false">C17/C18-1</f>
        <v>-0.0314336537976743</v>
      </c>
    </row>
    <row r="20" customFormat="false" ht="15" hidden="false" customHeight="false" outlineLevel="0" collapsed="false">
      <c r="B20" s="21" t="s">
        <v>3</v>
      </c>
      <c r="C20" s="60" t="str">
        <f aca="false">IF(C19&gt;Assumptions!$C$45,"BUY",IF(C19&lt;Assumptions!$C$46,"SELL","HOLD"))</f>
        <v>HOLD</v>
      </c>
    </row>
    <row r="22" customFormat="false" ht="15" hidden="false" customHeight="false" outlineLevel="0" collapsed="false">
      <c r="B22" s="9" t="s">
        <v>253</v>
      </c>
    </row>
    <row r="23" customFormat="false" ht="23.85" hidden="false" customHeight="false" outlineLevel="0" collapsed="false">
      <c r="B23" s="23" t="s">
        <v>21</v>
      </c>
      <c r="C23" s="24" t="s">
        <v>181</v>
      </c>
      <c r="D23" s="24" t="s">
        <v>254</v>
      </c>
    </row>
    <row r="24" customFormat="false" ht="15" hidden="false" customHeight="false" outlineLevel="0" collapsed="false">
      <c r="B24" s="10" t="s">
        <v>74</v>
      </c>
      <c r="C24" s="18" t="n">
        <v>22.5027008103501</v>
      </c>
      <c r="D24" s="26" t="n">
        <f aca="false">C24/$C$18-1</f>
        <v>-0.335615544139675</v>
      </c>
    </row>
    <row r="25" customFormat="false" ht="15" hidden="false" customHeight="false" outlineLevel="0" collapsed="false">
      <c r="B25" s="10" t="s">
        <v>73</v>
      </c>
      <c r="C25" s="18" t="n">
        <v>35.5707455951035</v>
      </c>
      <c r="D25" s="26" t="n">
        <f aca="false">C25/$C$18-1</f>
        <v>0.050213956801092</v>
      </c>
    </row>
    <row r="26" customFormat="false" ht="15" hidden="false" customHeight="false" outlineLevel="0" collapsed="false">
      <c r="B26" s="10" t="s">
        <v>75</v>
      </c>
      <c r="C26" s="18" t="n">
        <v>58.5313128589615</v>
      </c>
      <c r="D26" s="26" t="n">
        <f aca="false">C26/$C$18-1</f>
        <v>0.72811676128696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K5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2" min="3" style="0" width="13"/>
  </cols>
  <sheetData>
    <row r="1" customFormat="false" ht="17.35" hidden="false" customHeight="false" outlineLevel="0" collapsed="false">
      <c r="B1" s="12" t="s">
        <v>255</v>
      </c>
    </row>
    <row r="2" customFormat="false" ht="15" hidden="false" customHeight="false" outlineLevel="0" collapsed="false">
      <c r="B2" s="3" t="s">
        <v>256</v>
      </c>
    </row>
    <row r="4" customFormat="false" ht="23.85" hidden="false" customHeight="false" outlineLevel="0" collapsed="false">
      <c r="B4" s="23" t="s">
        <v>257</v>
      </c>
      <c r="C4" s="24" t="s">
        <v>136</v>
      </c>
      <c r="D4" s="24" t="s">
        <v>217</v>
      </c>
      <c r="E4" s="24" t="s">
        <v>258</v>
      </c>
      <c r="F4" s="24" t="s">
        <v>259</v>
      </c>
      <c r="G4" s="24" t="s">
        <v>260</v>
      </c>
      <c r="H4" s="24" t="s">
        <v>261</v>
      </c>
    </row>
    <row r="5" customFormat="false" ht="15" hidden="false" customHeight="false" outlineLevel="0" collapsed="false">
      <c r="B5" s="10" t="s">
        <v>59</v>
      </c>
      <c r="C5" s="14" t="n">
        <v>0.00192187263814803</v>
      </c>
      <c r="D5" s="14" t="n">
        <v>0.0095578991787888</v>
      </c>
      <c r="E5" s="14" t="n">
        <v>-0.00910199114466001</v>
      </c>
      <c r="F5" s="14" t="n">
        <v>0.0390861368869497</v>
      </c>
      <c r="G5" s="17" t="n">
        <v>35.7142857142857</v>
      </c>
      <c r="H5" s="61" t="s">
        <v>262</v>
      </c>
    </row>
    <row r="6" customFormat="false" ht="15" hidden="false" customHeight="false" outlineLevel="0" collapsed="false">
      <c r="B6" s="10" t="s">
        <v>263</v>
      </c>
      <c r="C6" s="14" t="n">
        <v>-0.0324018231474729</v>
      </c>
      <c r="D6" s="14" t="n">
        <v>0.0185695757494577</v>
      </c>
      <c r="E6" s="14" t="n">
        <v>-0.0366909607460561</v>
      </c>
      <c r="F6" s="14" t="n">
        <v>0.093662393768579</v>
      </c>
      <c r="G6" s="17" t="n">
        <v>35.7142857142857</v>
      </c>
      <c r="H6" s="61" t="s">
        <v>262</v>
      </c>
    </row>
    <row r="7" customFormat="false" ht="15" hidden="false" customHeight="false" outlineLevel="0" collapsed="false">
      <c r="B7" s="10" t="s">
        <v>120</v>
      </c>
      <c r="C7" s="14" t="n">
        <v>0.429134876503298</v>
      </c>
      <c r="D7" s="14" t="n">
        <v>0.556901814605961</v>
      </c>
      <c r="E7" s="14" t="n">
        <v>0.515933496814826</v>
      </c>
      <c r="F7" s="14" t="n">
        <v>0.574280306940863</v>
      </c>
      <c r="G7" s="17" t="n">
        <v>7.14285714285714</v>
      </c>
      <c r="H7" s="61" t="s">
        <v>262</v>
      </c>
    </row>
    <row r="8" customFormat="false" ht="15" hidden="false" customHeight="false" outlineLevel="0" collapsed="false">
      <c r="B8" s="10" t="s">
        <v>61</v>
      </c>
      <c r="C8" s="14" t="n">
        <v>0.0818354239406871</v>
      </c>
      <c r="D8" s="14" t="n">
        <v>0.0604840082846533</v>
      </c>
      <c r="E8" s="14" t="n">
        <v>0.0427587312233018</v>
      </c>
      <c r="F8" s="14" t="n">
        <v>0.16456622596307</v>
      </c>
      <c r="G8" s="17" t="n">
        <v>64.2857142857143</v>
      </c>
      <c r="H8" s="62" t="s">
        <v>264</v>
      </c>
    </row>
    <row r="9" customFormat="false" ht="15" hidden="false" customHeight="false" outlineLevel="0" collapsed="false">
      <c r="B9" s="10" t="s">
        <v>265</v>
      </c>
      <c r="C9" s="14" t="n">
        <v>0.234494491868949</v>
      </c>
      <c r="D9" s="14" t="n">
        <v>0.129797025263502</v>
      </c>
      <c r="E9" s="14" t="n">
        <v>0.0429882018955573</v>
      </c>
      <c r="F9" s="14" t="n">
        <v>0.468079736081302</v>
      </c>
      <c r="G9" s="17" t="n">
        <v>64.2857142857143</v>
      </c>
      <c r="H9" s="62" t="s">
        <v>264</v>
      </c>
    </row>
    <row r="10" customFormat="false" ht="15" hidden="false" customHeight="false" outlineLevel="0" collapsed="false">
      <c r="B10" s="10" t="s">
        <v>123</v>
      </c>
      <c r="C10" s="14" t="n">
        <v>0.0470709944394155</v>
      </c>
      <c r="D10" s="14" t="n">
        <v>0.0734051099754605</v>
      </c>
      <c r="E10" s="14" t="n">
        <v>0.0594071955564801</v>
      </c>
      <c r="F10" s="14" t="n">
        <v>0.143110227135117</v>
      </c>
      <c r="G10" s="17" t="n">
        <v>21.4285714285714</v>
      </c>
      <c r="H10" s="61" t="s">
        <v>262</v>
      </c>
    </row>
    <row r="11" customFormat="false" ht="15" hidden="false" customHeight="false" outlineLevel="0" collapsed="false">
      <c r="B11" s="10" t="s">
        <v>266</v>
      </c>
      <c r="C11" s="14" t="n">
        <v>0.702702702702703</v>
      </c>
      <c r="D11" s="14" t="n">
        <v>1.14724705766029</v>
      </c>
      <c r="E11" s="14" t="n">
        <v>0.949564339166784</v>
      </c>
      <c r="F11" s="14" t="n">
        <v>1.46304150850777</v>
      </c>
      <c r="G11" s="17" t="n">
        <v>30</v>
      </c>
      <c r="H11" s="61" t="s">
        <v>262</v>
      </c>
    </row>
    <row r="12" customFormat="false" ht="15" hidden="false" customHeight="false" outlineLevel="0" collapsed="false">
      <c r="B12" s="10" t="s">
        <v>125</v>
      </c>
      <c r="C12" s="41" t="n">
        <v>-0.238776408450704</v>
      </c>
      <c r="D12" s="41" t="n">
        <v>-0.667641972585776</v>
      </c>
      <c r="E12" s="41" t="n">
        <v>-1.42472786544317</v>
      </c>
      <c r="F12" s="41" t="n">
        <v>3.15724222900999</v>
      </c>
      <c r="G12" s="17" t="n">
        <v>41.6666666666667</v>
      </c>
      <c r="H12" s="61" t="s">
        <v>262</v>
      </c>
    </row>
    <row r="13" customFormat="false" ht="15" hidden="false" customHeight="false" outlineLevel="0" collapsed="false">
      <c r="B13" s="10" t="s">
        <v>267</v>
      </c>
      <c r="C13" s="41" t="n">
        <v>11.7554179566564</v>
      </c>
      <c r="D13" s="41" t="n">
        <v>3.45724976164921</v>
      </c>
      <c r="E13" s="41" t="n">
        <v>1.69351093592488</v>
      </c>
      <c r="F13" s="41" t="n">
        <v>499.171146245059</v>
      </c>
      <c r="G13" s="17" t="n">
        <v>58.3333333333333</v>
      </c>
      <c r="H13" s="62" t="s">
        <v>264</v>
      </c>
    </row>
    <row r="14" customFormat="false" ht="15" hidden="false" customHeight="false" outlineLevel="0" collapsed="false">
      <c r="B14" s="10" t="s">
        <v>268</v>
      </c>
      <c r="C14" s="17" t="n">
        <v>103.366368407143</v>
      </c>
      <c r="D14" s="17" t="n">
        <v>119.275503805394</v>
      </c>
      <c r="E14" s="17" t="n">
        <v>88.7563856302785</v>
      </c>
      <c r="F14" s="17" t="n">
        <v>127.453729039762</v>
      </c>
      <c r="G14" s="17" t="n">
        <v>64.2857142857143</v>
      </c>
      <c r="H14" s="62" t="s">
        <v>264</v>
      </c>
    </row>
    <row r="15" customFormat="false" ht="15" hidden="false" customHeight="false" outlineLevel="0" collapsed="false">
      <c r="B15" s="10" t="s">
        <v>269</v>
      </c>
      <c r="C15" s="17" t="n">
        <v>100.414632926436</v>
      </c>
      <c r="D15" s="17" t="n">
        <v>109.306861018203</v>
      </c>
      <c r="E15" s="17" t="n">
        <v>100.054952466511</v>
      </c>
      <c r="F15" s="17" t="n">
        <v>109.995080757998</v>
      </c>
      <c r="G15" s="17" t="n">
        <v>58.3333333333333</v>
      </c>
      <c r="H15" s="62" t="s">
        <v>264</v>
      </c>
    </row>
    <row r="18" customFormat="false" ht="15" hidden="false" customHeight="false" outlineLevel="0" collapsed="false">
      <c r="B18" s="9" t="s">
        <v>270</v>
      </c>
    </row>
    <row r="19" customFormat="false" ht="15" hidden="false" customHeight="false" outlineLevel="0" collapsed="false">
      <c r="B19" s="23" t="s">
        <v>87</v>
      </c>
      <c r="C19" s="24" t="s">
        <v>88</v>
      </c>
      <c r="D19" s="24" t="s">
        <v>89</v>
      </c>
      <c r="E19" s="24" t="s">
        <v>90</v>
      </c>
      <c r="F19" s="24" t="s">
        <v>91</v>
      </c>
      <c r="G19" s="24" t="s">
        <v>92</v>
      </c>
      <c r="H19" s="24" t="s">
        <v>93</v>
      </c>
      <c r="I19" s="24" t="s">
        <v>94</v>
      </c>
      <c r="J19" s="24" t="s">
        <v>95</v>
      </c>
    </row>
    <row r="20" customFormat="false" ht="15" hidden="false" customHeight="false" outlineLevel="0" collapsed="false">
      <c r="B20" s="21" t="s">
        <v>136</v>
      </c>
      <c r="C20" s="14"/>
      <c r="D20" s="14" t="n">
        <v>-0.0438172661502672</v>
      </c>
      <c r="E20" s="14" t="n">
        <v>0.190760099457263</v>
      </c>
      <c r="F20" s="14" t="n">
        <v>0.0487673447393238</v>
      </c>
      <c r="G20" s="14" t="n">
        <v>0.0964889745236566</v>
      </c>
      <c r="H20" s="14" t="n">
        <v>0.00283109123923708</v>
      </c>
      <c r="I20" s="14" t="n">
        <v>-0.0983801253845256</v>
      </c>
      <c r="J20" s="14" t="n">
        <v>0.00192187263814803</v>
      </c>
    </row>
    <row r="21" customFormat="false" ht="15" hidden="false" customHeight="false" outlineLevel="0" collapsed="false">
      <c r="B21" s="10" t="s">
        <v>217</v>
      </c>
      <c r="C21" s="14" t="n">
        <v>0.108272025452499</v>
      </c>
      <c r="D21" s="14" t="n">
        <v>0.0385744753721433</v>
      </c>
      <c r="E21" s="14" t="n">
        <v>0.259865698159346</v>
      </c>
      <c r="F21" s="14" t="n">
        <v>0.281746714681405</v>
      </c>
      <c r="G21" s="14" t="n">
        <v>0.0767022560383361</v>
      </c>
      <c r="H21" s="14" t="n">
        <v>0.000628094970600346</v>
      </c>
      <c r="I21" s="14" t="n">
        <v>-0.00322119782825753</v>
      </c>
      <c r="J21" s="14" t="n">
        <v>0.0105754095530302</v>
      </c>
    </row>
    <row r="22" customFormat="false" ht="15" hidden="false" customHeight="false" outlineLevel="0" collapsed="false">
      <c r="B22" s="10" t="s">
        <v>258</v>
      </c>
      <c r="C22" s="14" t="n">
        <v>0.0678328456773296</v>
      </c>
      <c r="D22" s="14" t="n">
        <v>-0.107443390222227</v>
      </c>
      <c r="E22" s="14" t="n">
        <v>0.207668282749156</v>
      </c>
      <c r="F22" s="14" t="n">
        <v>0.23754252858121</v>
      </c>
      <c r="G22" s="14" t="n">
        <v>0.014694505715631</v>
      </c>
      <c r="H22" s="14" t="n">
        <v>-0.0340775064368435</v>
      </c>
      <c r="I22" s="14" t="n">
        <v>-0.0348318457461835</v>
      </c>
      <c r="J22" s="14" t="n">
        <v>-0.013876520453961</v>
      </c>
    </row>
    <row r="23" customFormat="false" ht="15" hidden="false" customHeight="false" outlineLevel="0" collapsed="false">
      <c r="B23" s="10" t="s">
        <v>259</v>
      </c>
      <c r="C23" s="14" t="n">
        <v>0.150667694372305</v>
      </c>
      <c r="D23" s="14" t="n">
        <v>0.093536132545392</v>
      </c>
      <c r="E23" s="14" t="n">
        <v>0.383500436071451</v>
      </c>
      <c r="F23" s="14" t="n">
        <v>0.296310450200164</v>
      </c>
      <c r="G23" s="14" t="n">
        <v>0.142193827359371</v>
      </c>
      <c r="H23" s="14" t="n">
        <v>0.0843576263166455</v>
      </c>
      <c r="I23" s="14" t="n">
        <v>0.038577381699829</v>
      </c>
      <c r="J23" s="14" t="n">
        <v>0.0540965571300476</v>
      </c>
    </row>
    <row r="25" customFormat="false" ht="15" hidden="false" customHeight="false" outlineLevel="0" collapsed="false">
      <c r="B25" s="9" t="s">
        <v>271</v>
      </c>
    </row>
    <row r="26" customFormat="false" ht="15" hidden="false" customHeight="false" outlineLevel="0" collapsed="false">
      <c r="B26" s="23" t="s">
        <v>87</v>
      </c>
      <c r="C26" s="24" t="s">
        <v>272</v>
      </c>
      <c r="D26" s="24" t="s">
        <v>88</v>
      </c>
      <c r="E26" s="24" t="s">
        <v>89</v>
      </c>
      <c r="F26" s="24" t="s">
        <v>90</v>
      </c>
      <c r="G26" s="24" t="s">
        <v>91</v>
      </c>
      <c r="H26" s="24" t="s">
        <v>92</v>
      </c>
      <c r="I26" s="24" t="s">
        <v>93</v>
      </c>
      <c r="J26" s="24" t="s">
        <v>94</v>
      </c>
      <c r="K26" s="24" t="s">
        <v>95</v>
      </c>
    </row>
    <row r="27" customFormat="false" ht="15" hidden="false" customHeight="false" outlineLevel="0" collapsed="false">
      <c r="B27" s="21" t="s">
        <v>136</v>
      </c>
      <c r="C27" s="14"/>
      <c r="D27" s="14" t="n">
        <v>0.446711148605466</v>
      </c>
      <c r="E27" s="14" t="n">
        <v>0.434216506697324</v>
      </c>
      <c r="F27" s="14" t="n">
        <v>0.44820153576721</v>
      </c>
      <c r="G27" s="14" t="n">
        <v>0.45983729394134</v>
      </c>
      <c r="H27" s="14" t="n">
        <v>0.435246109690142</v>
      </c>
      <c r="I27" s="14" t="n">
        <v>0.445601806783225</v>
      </c>
      <c r="J27" s="14" t="n">
        <v>0.427346736055626</v>
      </c>
      <c r="K27" s="14" t="n">
        <v>0.429134876503298</v>
      </c>
    </row>
    <row r="28" customFormat="false" ht="15" hidden="false" customHeight="false" outlineLevel="0" collapsed="false">
      <c r="B28" s="10" t="s">
        <v>217</v>
      </c>
      <c r="C28" s="14" t="n">
        <v>0.504731878969552</v>
      </c>
      <c r="D28" s="14" t="n">
        <v>0.508146831044487</v>
      </c>
      <c r="E28" s="14" t="n">
        <v>0.529305086986577</v>
      </c>
      <c r="F28" s="14" t="n">
        <v>0.533346744948898</v>
      </c>
      <c r="G28" s="14" t="n">
        <v>0.52328828391681</v>
      </c>
      <c r="H28" s="14" t="n">
        <v>0.512967582248822</v>
      </c>
      <c r="I28" s="14" t="n">
        <v>0.535962683005654</v>
      </c>
      <c r="J28" s="14" t="n">
        <v>0.550442503239081</v>
      </c>
      <c r="K28" s="14" t="n">
        <v>0.547798189044755</v>
      </c>
    </row>
    <row r="29" customFormat="false" ht="15" hidden="false" customHeight="false" outlineLevel="0" collapsed="false">
      <c r="B29" s="10" t="s">
        <v>258</v>
      </c>
      <c r="C29" s="14" t="n">
        <v>0.483705297554319</v>
      </c>
      <c r="D29" s="14" t="n">
        <v>0.498984637721095</v>
      </c>
      <c r="E29" s="14" t="n">
        <v>0.496314366167993</v>
      </c>
      <c r="F29" s="14" t="n">
        <v>0.518543648389355</v>
      </c>
      <c r="G29" s="14" t="n">
        <v>0.510278735082161</v>
      </c>
      <c r="H29" s="14" t="n">
        <v>0.497868321134798</v>
      </c>
      <c r="I29" s="14" t="n">
        <v>0.505407017334082</v>
      </c>
      <c r="J29" s="14" t="n">
        <v>0.512703841131386</v>
      </c>
      <c r="K29" s="14" t="n">
        <v>0.501314490475558</v>
      </c>
    </row>
    <row r="30" customFormat="false" ht="15" hidden="false" customHeight="false" outlineLevel="0" collapsed="false">
      <c r="B30" s="10" t="s">
        <v>259</v>
      </c>
      <c r="C30" s="14" t="n">
        <v>0.524149111835103</v>
      </c>
      <c r="D30" s="14" t="n">
        <v>0.538569580732316</v>
      </c>
      <c r="E30" s="14" t="n">
        <v>0.54987408842785</v>
      </c>
      <c r="F30" s="14" t="n">
        <v>0.567515212777762</v>
      </c>
      <c r="G30" s="14" t="n">
        <v>0.545138846665721</v>
      </c>
      <c r="H30" s="14" t="n">
        <v>0.548990116872226</v>
      </c>
      <c r="I30" s="14" t="n">
        <v>0.579761261043099</v>
      </c>
      <c r="J30" s="14" t="n">
        <v>0.575599972208162</v>
      </c>
      <c r="K30" s="14" t="n">
        <v>0.562418392455091</v>
      </c>
    </row>
    <row r="32" customFormat="false" ht="15" hidden="false" customHeight="false" outlineLevel="0" collapsed="false">
      <c r="B32" s="9" t="s">
        <v>273</v>
      </c>
    </row>
    <row r="33" customFormat="false" ht="15" hidden="false" customHeight="false" outlineLevel="0" collapsed="false">
      <c r="B33" s="23" t="s">
        <v>87</v>
      </c>
      <c r="C33" s="24" t="s">
        <v>272</v>
      </c>
      <c r="D33" s="24" t="s">
        <v>88</v>
      </c>
      <c r="E33" s="24" t="s">
        <v>89</v>
      </c>
      <c r="F33" s="24" t="s">
        <v>90</v>
      </c>
      <c r="G33" s="24" t="s">
        <v>91</v>
      </c>
      <c r="H33" s="24" t="s">
        <v>92</v>
      </c>
      <c r="I33" s="24" t="s">
        <v>93</v>
      </c>
      <c r="J33" s="24" t="s">
        <v>94</v>
      </c>
      <c r="K33" s="24" t="s">
        <v>95</v>
      </c>
    </row>
    <row r="34" customFormat="false" ht="15" hidden="false" customHeight="false" outlineLevel="0" collapsed="false">
      <c r="B34" s="21" t="s">
        <v>136</v>
      </c>
      <c r="C34" s="14"/>
      <c r="D34" s="14" t="n">
        <v>0.121992995372856</v>
      </c>
      <c r="E34" s="14" t="n">
        <v>0.0832820896719514</v>
      </c>
      <c r="F34" s="14" t="n">
        <v>0.155754636490188</v>
      </c>
      <c r="G34" s="14" t="n">
        <v>0.142903018625562</v>
      </c>
      <c r="H34" s="14" t="n">
        <v>0.115488997793701</v>
      </c>
      <c r="I34" s="14" t="n">
        <v>0.122872941084849</v>
      </c>
      <c r="J34" s="14" t="n">
        <v>0.0799412641171263</v>
      </c>
      <c r="K34" s="14" t="n">
        <v>0.0818354239406871</v>
      </c>
    </row>
    <row r="35" customFormat="false" ht="15" hidden="false" customHeight="false" outlineLevel="0" collapsed="false">
      <c r="B35" s="10" t="s">
        <v>217</v>
      </c>
      <c r="C35" s="14" t="n">
        <v>0.0915443563587349</v>
      </c>
      <c r="D35" s="14" t="n">
        <v>0.122871590966196</v>
      </c>
      <c r="E35" s="14" t="n">
        <v>0.121477437542508</v>
      </c>
      <c r="F35" s="14" t="n">
        <v>0.171081329932291</v>
      </c>
      <c r="G35" s="14" t="n">
        <v>0.163788305506504</v>
      </c>
      <c r="H35" s="14" t="n">
        <v>0.135009201147176</v>
      </c>
      <c r="I35" s="14" t="n">
        <v>0.148344460452253</v>
      </c>
      <c r="J35" s="14" t="n">
        <v>0.0489720207038323</v>
      </c>
      <c r="K35" s="14" t="n">
        <v>0.0600267125945334</v>
      </c>
    </row>
    <row r="36" customFormat="false" ht="15" hidden="false" customHeight="false" outlineLevel="0" collapsed="false">
      <c r="B36" s="10" t="s">
        <v>258</v>
      </c>
      <c r="C36" s="14" t="n">
        <v>0.0421772132354165</v>
      </c>
      <c r="D36" s="14" t="n">
        <v>0.107387793817277</v>
      </c>
      <c r="E36" s="14" t="n">
        <v>0.063203857131699</v>
      </c>
      <c r="F36" s="14" t="n">
        <v>0.0987483515883437</v>
      </c>
      <c r="G36" s="14" t="n">
        <v>0.137833647473703</v>
      </c>
      <c r="H36" s="14" t="n">
        <v>0.0892490862248127</v>
      </c>
      <c r="I36" s="14" t="n">
        <v>0.0503135311181317</v>
      </c>
      <c r="J36" s="14" t="n">
        <v>0.0332209270520674</v>
      </c>
      <c r="K36" s="14" t="n">
        <v>0.0135917042657024</v>
      </c>
    </row>
    <row r="37" customFormat="false" ht="15" hidden="false" customHeight="false" outlineLevel="0" collapsed="false">
      <c r="B37" s="10" t="s">
        <v>259</v>
      </c>
      <c r="C37" s="14" t="n">
        <v>0.147597375346469</v>
      </c>
      <c r="D37" s="14" t="n">
        <v>0.153958130231799</v>
      </c>
      <c r="E37" s="14" t="n">
        <v>0.157535521545098</v>
      </c>
      <c r="F37" s="14" t="n">
        <v>0.209349888047098</v>
      </c>
      <c r="G37" s="14" t="n">
        <v>0.179252772479406</v>
      </c>
      <c r="H37" s="14" t="n">
        <v>0.211270338055147</v>
      </c>
      <c r="I37" s="14" t="n">
        <v>0.231567834616907</v>
      </c>
      <c r="J37" s="14" t="n">
        <v>0.16456622596307</v>
      </c>
      <c r="K37" s="14" t="n">
        <v>0.145403952858564</v>
      </c>
    </row>
    <row r="39" customFormat="false" ht="15" hidden="false" customHeight="false" outlineLevel="0" collapsed="false">
      <c r="B39" s="9" t="s">
        <v>274</v>
      </c>
    </row>
    <row r="40" customFormat="false" ht="15" hidden="false" customHeight="false" outlineLevel="0" collapsed="false">
      <c r="B40" s="23" t="s">
        <v>87</v>
      </c>
      <c r="C40" s="24" t="s">
        <v>272</v>
      </c>
      <c r="D40" s="24" t="s">
        <v>88</v>
      </c>
      <c r="E40" s="24" t="s">
        <v>89</v>
      </c>
      <c r="F40" s="24" t="s">
        <v>90</v>
      </c>
      <c r="G40" s="24" t="s">
        <v>91</v>
      </c>
      <c r="H40" s="24" t="s">
        <v>92</v>
      </c>
      <c r="I40" s="24" t="s">
        <v>93</v>
      </c>
      <c r="J40" s="24" t="s">
        <v>94</v>
      </c>
      <c r="K40" s="24" t="s">
        <v>95</v>
      </c>
    </row>
    <row r="41" customFormat="false" ht="15" hidden="false" customHeight="false" outlineLevel="0" collapsed="false">
      <c r="B41" s="21" t="s">
        <v>136</v>
      </c>
      <c r="C41" s="14"/>
      <c r="D41" s="14" t="n">
        <v>0.509758553356374</v>
      </c>
      <c r="E41" s="14" t="n">
        <v>0.326502210767629</v>
      </c>
      <c r="F41" s="14" t="n">
        <v>0.676569622208484</v>
      </c>
      <c r="G41" s="14" t="n">
        <v>0.594301358437185</v>
      </c>
      <c r="H41" s="14" t="n">
        <v>0.40341704387826</v>
      </c>
      <c r="I41" s="14" t="n">
        <v>0.447067713184774</v>
      </c>
      <c r="J41" s="14" t="n">
        <v>0.257924862608487</v>
      </c>
      <c r="K41" s="14" t="n">
        <v>0.234494491868949</v>
      </c>
    </row>
    <row r="42" customFormat="false" ht="15" hidden="false" customHeight="false" outlineLevel="0" collapsed="false">
      <c r="B42" s="10" t="s">
        <v>217</v>
      </c>
      <c r="C42" s="14" t="n">
        <v>0.305239116830175</v>
      </c>
      <c r="D42" s="14" t="n">
        <v>0.383047169460223</v>
      </c>
      <c r="E42" s="14" t="n">
        <v>0.309339056187028</v>
      </c>
      <c r="F42" s="14" t="n">
        <v>0.534531944395865</v>
      </c>
      <c r="G42" s="14" t="n">
        <v>0.356591517333192</v>
      </c>
      <c r="H42" s="14" t="n">
        <v>0.245143396651751</v>
      </c>
      <c r="I42" s="14" t="n">
        <v>0.263424509435183</v>
      </c>
      <c r="J42" s="14" t="n">
        <v>0.098486138633078</v>
      </c>
      <c r="K42" s="14" t="n">
        <v>0.0899545318411928</v>
      </c>
    </row>
    <row r="43" customFormat="false" ht="15" hidden="false" customHeight="false" outlineLevel="0" collapsed="false">
      <c r="B43" s="10" t="s">
        <v>258</v>
      </c>
      <c r="C43" s="14" t="n">
        <v>0.206917045394051</v>
      </c>
      <c r="D43" s="14" t="n">
        <v>0.188554343152755</v>
      </c>
      <c r="E43" s="14" t="n">
        <v>0.104503860944172</v>
      </c>
      <c r="F43" s="14" t="n">
        <v>0.346658372043954</v>
      </c>
      <c r="G43" s="14" t="n">
        <v>0.237016396818659</v>
      </c>
      <c r="H43" s="14" t="n">
        <v>0.176606952269005</v>
      </c>
      <c r="I43" s="14" t="n">
        <v>0.125641243845631</v>
      </c>
      <c r="J43" s="14" t="n">
        <v>0.025860473696283</v>
      </c>
      <c r="K43" s="14" t="n">
        <v>0.0148678791863608</v>
      </c>
    </row>
    <row r="44" customFormat="false" ht="15" hidden="false" customHeight="false" outlineLevel="0" collapsed="false">
      <c r="B44" s="10" t="s">
        <v>259</v>
      </c>
      <c r="C44" s="14" t="n">
        <v>0.460074149553768</v>
      </c>
      <c r="D44" s="14" t="n">
        <v>0.629409074589841</v>
      </c>
      <c r="E44" s="14" t="n">
        <v>0.512427846970044</v>
      </c>
      <c r="F44" s="14" t="n">
        <v>0.77394637793972</v>
      </c>
      <c r="G44" s="14" t="n">
        <v>0.490560350549864</v>
      </c>
      <c r="H44" s="14" t="n">
        <v>0.528399333590537</v>
      </c>
      <c r="I44" s="14" t="n">
        <v>0.6960711677642</v>
      </c>
      <c r="J44" s="14" t="n">
        <v>0.468079736081302</v>
      </c>
      <c r="K44" s="14" t="n">
        <v>0.79391932921115</v>
      </c>
    </row>
    <row r="46" customFormat="false" ht="15" hidden="false" customHeight="false" outlineLevel="0" collapsed="false">
      <c r="B46" s="9" t="s">
        <v>275</v>
      </c>
    </row>
    <row r="47" customFormat="false" ht="15" hidden="false" customHeight="false" outlineLevel="0" collapsed="false">
      <c r="B47" s="23" t="s">
        <v>87</v>
      </c>
      <c r="C47" s="24" t="s">
        <v>272</v>
      </c>
      <c r="D47" s="24" t="s">
        <v>88</v>
      </c>
      <c r="E47" s="24" t="s">
        <v>89</v>
      </c>
      <c r="F47" s="24" t="s">
        <v>90</v>
      </c>
      <c r="G47" s="24" t="s">
        <v>91</v>
      </c>
      <c r="H47" s="24" t="s">
        <v>92</v>
      </c>
      <c r="I47" s="24" t="s">
        <v>93</v>
      </c>
      <c r="J47" s="24" t="s">
        <v>94</v>
      </c>
      <c r="K47" s="24" t="s">
        <v>95</v>
      </c>
    </row>
    <row r="48" customFormat="false" ht="15" hidden="false" customHeight="false" outlineLevel="0" collapsed="false">
      <c r="B48" s="21" t="s">
        <v>136</v>
      </c>
      <c r="C48" s="14"/>
      <c r="D48" s="14" t="n">
        <v>0.122299767364573</v>
      </c>
      <c r="E48" s="14" t="n">
        <v>0.0374034168382215</v>
      </c>
      <c r="F48" s="14" t="n">
        <v>0.133863217926265</v>
      </c>
      <c r="G48" s="14" t="n">
        <v>0.0948405052451295</v>
      </c>
      <c r="H48" s="14" t="n">
        <v>0.0951246656383623</v>
      </c>
      <c r="I48" s="14" t="n">
        <v>0.128830653011954</v>
      </c>
      <c r="J48" s="14" t="n">
        <v>0.0705694357468311</v>
      </c>
      <c r="K48" s="14" t="n">
        <v>0.0470709944394155</v>
      </c>
    </row>
    <row r="49" customFormat="false" ht="15" hidden="false" customHeight="false" outlineLevel="0" collapsed="false">
      <c r="B49" s="10" t="s">
        <v>217</v>
      </c>
      <c r="C49" s="14" t="n">
        <v>0.0910315826051798</v>
      </c>
      <c r="D49" s="14" t="n">
        <v>0.0830154349868753</v>
      </c>
      <c r="E49" s="14" t="n">
        <v>0.108953940189294</v>
      </c>
      <c r="F49" s="14" t="n">
        <v>0.139804033336176</v>
      </c>
      <c r="G49" s="14" t="n">
        <v>0.0404173938088788</v>
      </c>
      <c r="H49" s="14" t="n">
        <v>0.146315155486802</v>
      </c>
      <c r="I49" s="14" t="n">
        <v>0.138784947296454</v>
      </c>
      <c r="J49" s="14" t="n">
        <v>0.0734051099754605</v>
      </c>
      <c r="K49" s="14" t="n">
        <v>0.0579443004195537</v>
      </c>
    </row>
    <row r="50" customFormat="false" ht="15" hidden="false" customHeight="false" outlineLevel="0" collapsed="false">
      <c r="B50" s="10" t="s">
        <v>258</v>
      </c>
      <c r="C50" s="14" t="n">
        <v>0.0861006657880523</v>
      </c>
      <c r="D50" s="14" t="n">
        <v>0.0571591363832009</v>
      </c>
      <c r="E50" s="14" t="n">
        <v>0.0666435183328608</v>
      </c>
      <c r="F50" s="14" t="n">
        <v>0.108627521823323</v>
      </c>
      <c r="G50" s="14" t="n">
        <v>0.0385152201080582</v>
      </c>
      <c r="H50" s="14" t="n">
        <v>0.00630592008050976</v>
      </c>
      <c r="I50" s="14" t="n">
        <v>0.098476271491103</v>
      </c>
      <c r="J50" s="14" t="n">
        <v>0.0458522569451911</v>
      </c>
      <c r="K50" s="14" t="n">
        <v>0.0126460407978724</v>
      </c>
    </row>
    <row r="51" customFormat="false" ht="15" hidden="false" customHeight="false" outlineLevel="0" collapsed="false">
      <c r="B51" s="10" t="s">
        <v>259</v>
      </c>
      <c r="C51" s="14" t="n">
        <v>0.109729047940153</v>
      </c>
      <c r="D51" s="14" t="n">
        <v>0.130076962060163</v>
      </c>
      <c r="E51" s="14" t="n">
        <v>0.127578320300695</v>
      </c>
      <c r="F51" s="14" t="n">
        <v>0.205486997789959</v>
      </c>
      <c r="G51" s="14" t="n">
        <v>0.0522586861501253</v>
      </c>
      <c r="H51" s="14" t="n">
        <v>0.169905170161418</v>
      </c>
      <c r="I51" s="14" t="n">
        <v>0.202477538522526</v>
      </c>
      <c r="J51" s="14" t="n">
        <v>0.143110227135117</v>
      </c>
      <c r="K51" s="14" t="n">
        <v>0.129234636010984</v>
      </c>
    </row>
    <row r="53" customFormat="false" ht="15" hidden="false" customHeight="false" outlineLevel="0" collapsed="false">
      <c r="B53" s="9" t="s">
        <v>276</v>
      </c>
    </row>
    <row r="54" customFormat="false" ht="15" hidden="false" customHeight="false" outlineLevel="0" collapsed="false">
      <c r="B54" s="23" t="s">
        <v>87</v>
      </c>
      <c r="C54" s="24" t="s">
        <v>272</v>
      </c>
      <c r="D54" s="24" t="s">
        <v>88</v>
      </c>
      <c r="E54" s="24" t="s">
        <v>89</v>
      </c>
      <c r="F54" s="24" t="s">
        <v>90</v>
      </c>
      <c r="G54" s="24" t="s">
        <v>91</v>
      </c>
      <c r="H54" s="24" t="s">
        <v>92</v>
      </c>
      <c r="I54" s="24" t="s">
        <v>93</v>
      </c>
      <c r="J54" s="24" t="s">
        <v>94</v>
      </c>
    </row>
    <row r="55" customFormat="false" ht="15" hidden="false" customHeight="false" outlineLevel="0" collapsed="false">
      <c r="B55" s="21" t="s">
        <v>136</v>
      </c>
      <c r="C55" s="41"/>
      <c r="D55" s="41" t="n">
        <v>-0.216176739090743</v>
      </c>
      <c r="E55" s="41" t="n">
        <v>0.226798748696559</v>
      </c>
      <c r="F55" s="41" t="n">
        <v>-0.528707199583388</v>
      </c>
      <c r="G55" s="41" t="n">
        <v>-0.482548701298701</v>
      </c>
      <c r="H55" s="41" t="n">
        <v>-0.263221517074645</v>
      </c>
      <c r="I55" s="41" t="n">
        <v>-0.376108062473618</v>
      </c>
      <c r="J55" s="41" t="n">
        <v>-0.264686173777083</v>
      </c>
    </row>
    <row r="56" customFormat="false" ht="15" hidden="false" customHeight="false" outlineLevel="0" collapsed="false">
      <c r="B56" s="10" t="s">
        <v>217</v>
      </c>
      <c r="C56" s="41" t="n">
        <v>-0.550252874081327</v>
      </c>
      <c r="D56" s="41" t="n">
        <v>-0.742404828456615</v>
      </c>
      <c r="E56" s="41" t="n">
        <v>-1.14426473747444</v>
      </c>
      <c r="F56" s="41" t="n">
        <v>-1.22094488425671</v>
      </c>
      <c r="G56" s="41" t="n">
        <v>-0.712793305019939</v>
      </c>
      <c r="H56" s="41" t="n">
        <v>-0.492312747682364</v>
      </c>
      <c r="I56" s="41" t="n">
        <v>-0.581681960543171</v>
      </c>
      <c r="J56" s="41" t="n">
        <v>-0.667641972585776</v>
      </c>
    </row>
    <row r="57" customFormat="false" ht="15" hidden="false" customHeight="false" outlineLevel="0" collapsed="false">
      <c r="B57" s="10" t="s">
        <v>258</v>
      </c>
      <c r="C57" s="41" t="n">
        <v>-1.23455764227907</v>
      </c>
      <c r="D57" s="41" t="n">
        <v>-1.39431401227621</v>
      </c>
      <c r="E57" s="41" t="n">
        <v>-1.72073508077242</v>
      </c>
      <c r="F57" s="41" t="n">
        <v>-1.73305108363836</v>
      </c>
      <c r="G57" s="41" t="n">
        <v>-0.962280286520667</v>
      </c>
      <c r="H57" s="41" t="n">
        <v>-1.2743286418573</v>
      </c>
      <c r="I57" s="41" t="n">
        <v>-1.31161395015872</v>
      </c>
      <c r="J57" s="41" t="n">
        <v>-1.51323286167993</v>
      </c>
    </row>
    <row r="58" customFormat="false" ht="15" hidden="false" customHeight="false" outlineLevel="0" collapsed="false">
      <c r="B58" s="10" t="s">
        <v>259</v>
      </c>
      <c r="C58" s="41" t="n">
        <v>0.257849993422974</v>
      </c>
      <c r="D58" s="41" t="n">
        <v>0.363575694205857</v>
      </c>
      <c r="E58" s="41" t="n">
        <v>0.182830526633656</v>
      </c>
      <c r="F58" s="41" t="n">
        <v>0.397541238852775</v>
      </c>
      <c r="G58" s="41" t="n">
        <v>2.17284885413864</v>
      </c>
      <c r="H58" s="41" t="n">
        <v>1.04997797324672</v>
      </c>
      <c r="I58" s="41" t="n">
        <v>0.708096890364185</v>
      </c>
      <c r="J58" s="41" t="n">
        <v>4.94607009707295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8"/>
    <pageSetUpPr fitToPage="false"/>
  </sheetPr>
  <dimension ref="B1:I26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9"/>
    <col collapsed="false" customWidth="true" hidden="false" outlineLevel="0" max="8" min="8" style="0" width="24"/>
    <col collapsed="false" customWidth="true" hidden="false" outlineLevel="0" max="9" min="9" style="0" width="12"/>
  </cols>
  <sheetData>
    <row r="1" customFormat="false" ht="17.35" hidden="false" customHeight="false" outlineLevel="0" collapsed="false">
      <c r="B1" s="12" t="s">
        <v>277</v>
      </c>
    </row>
    <row r="2" customFormat="false" ht="15" hidden="false" customHeight="false" outlineLevel="0" collapsed="false">
      <c r="B2" s="3" t="s">
        <v>278</v>
      </c>
    </row>
    <row r="4" customFormat="false" ht="15" hidden="false" customHeight="false" outlineLevel="0" collapsed="false">
      <c r="B4" s="23" t="s">
        <v>279</v>
      </c>
      <c r="C4" s="24" t="s">
        <v>200</v>
      </c>
      <c r="D4" s="24" t="s">
        <v>280</v>
      </c>
      <c r="E4" s="24" t="s">
        <v>281</v>
      </c>
      <c r="F4" s="24" t="s">
        <v>282</v>
      </c>
      <c r="G4" s="24" t="s">
        <v>283</v>
      </c>
      <c r="H4" s="24" t="s">
        <v>284</v>
      </c>
      <c r="I4" s="24" t="s">
        <v>285</v>
      </c>
    </row>
    <row r="5" customFormat="false" ht="15" hidden="false" customHeight="false" outlineLevel="0" collapsed="false">
      <c r="B5" s="10" t="s">
        <v>111</v>
      </c>
      <c r="C5" s="17" t="n">
        <v>2019</v>
      </c>
      <c r="D5" s="10" t="s">
        <v>286</v>
      </c>
      <c r="E5" s="63" t="n">
        <v>4286</v>
      </c>
      <c r="F5" s="10" t="s">
        <v>287</v>
      </c>
      <c r="G5" s="10" t="s">
        <v>288</v>
      </c>
      <c r="H5" s="64" t="s">
        <v>289</v>
      </c>
      <c r="I5" s="10" t="s">
        <v>290</v>
      </c>
    </row>
    <row r="6" customFormat="false" ht="15" hidden="false" customHeight="false" outlineLevel="0" collapsed="false">
      <c r="B6" s="10" t="s">
        <v>111</v>
      </c>
      <c r="C6" s="17" t="n">
        <v>2020</v>
      </c>
      <c r="D6" s="10" t="s">
        <v>291</v>
      </c>
      <c r="E6" s="63" t="n">
        <v>3067</v>
      </c>
      <c r="F6" s="10" t="s">
        <v>287</v>
      </c>
      <c r="G6" s="10" t="s">
        <v>288</v>
      </c>
      <c r="H6" s="64" t="s">
        <v>292</v>
      </c>
      <c r="I6" s="10" t="s">
        <v>293</v>
      </c>
    </row>
    <row r="7" customFormat="false" ht="15" hidden="false" customHeight="false" outlineLevel="0" collapsed="false">
      <c r="B7" s="10" t="s">
        <v>111</v>
      </c>
      <c r="C7" s="17" t="n">
        <v>2021</v>
      </c>
      <c r="D7" s="10" t="s">
        <v>294</v>
      </c>
      <c r="E7" s="63" t="n">
        <v>608</v>
      </c>
      <c r="F7" s="10" t="s">
        <v>287</v>
      </c>
      <c r="G7" s="10" t="s">
        <v>288</v>
      </c>
      <c r="H7" s="64" t="s">
        <v>295</v>
      </c>
      <c r="I7" s="10" t="s">
        <v>296</v>
      </c>
    </row>
    <row r="8" customFormat="false" ht="15" hidden="false" customHeight="false" outlineLevel="0" collapsed="false">
      <c r="B8" s="10" t="s">
        <v>111</v>
      </c>
      <c r="C8" s="17" t="n">
        <v>2022</v>
      </c>
      <c r="D8" s="10" t="s">
        <v>297</v>
      </c>
      <c r="E8" s="63" t="n">
        <v>4014</v>
      </c>
      <c r="F8" s="10" t="s">
        <v>287</v>
      </c>
      <c r="G8" s="10" t="s">
        <v>288</v>
      </c>
      <c r="H8" s="64" t="s">
        <v>298</v>
      </c>
      <c r="I8" s="10" t="s">
        <v>299</v>
      </c>
    </row>
    <row r="9" customFormat="false" ht="15" hidden="false" customHeight="false" outlineLevel="0" collapsed="false">
      <c r="B9" s="10" t="s">
        <v>111</v>
      </c>
      <c r="C9" s="17" t="n">
        <v>2023</v>
      </c>
      <c r="D9" s="10" t="s">
        <v>300</v>
      </c>
      <c r="E9" s="63" t="n">
        <v>5480</v>
      </c>
      <c r="F9" s="10" t="s">
        <v>287</v>
      </c>
      <c r="G9" s="10" t="s">
        <v>288</v>
      </c>
      <c r="H9" s="64" t="s">
        <v>301</v>
      </c>
      <c r="I9" s="10" t="s">
        <v>302</v>
      </c>
    </row>
    <row r="10" customFormat="false" ht="15" hidden="false" customHeight="false" outlineLevel="0" collapsed="false">
      <c r="B10" s="10" t="s">
        <v>111</v>
      </c>
      <c r="C10" s="17" t="n">
        <v>2024</v>
      </c>
      <c r="D10" s="10" t="s">
        <v>303</v>
      </c>
      <c r="E10" s="63" t="n">
        <v>4250</v>
      </c>
      <c r="F10" s="10" t="s">
        <v>287</v>
      </c>
      <c r="G10" s="10" t="s">
        <v>288</v>
      </c>
      <c r="H10" s="64" t="s">
        <v>304</v>
      </c>
      <c r="I10" s="10" t="s">
        <v>305</v>
      </c>
    </row>
    <row r="11" customFormat="false" ht="15" hidden="false" customHeight="false" outlineLevel="0" collapsed="false">
      <c r="B11" s="10" t="s">
        <v>111</v>
      </c>
      <c r="C11" s="17" t="n">
        <v>2025</v>
      </c>
      <c r="D11" s="10" t="s">
        <v>306</v>
      </c>
      <c r="E11" s="63" t="n">
        <v>2985</v>
      </c>
      <c r="F11" s="10" t="s">
        <v>287</v>
      </c>
      <c r="G11" s="10" t="s">
        <v>288</v>
      </c>
      <c r="H11" s="64" t="s">
        <v>304</v>
      </c>
      <c r="I11" s="10" t="s">
        <v>305</v>
      </c>
    </row>
    <row r="12" customFormat="false" ht="15" hidden="false" customHeight="false" outlineLevel="0" collapsed="false">
      <c r="B12" s="10" t="s">
        <v>111</v>
      </c>
      <c r="C12" s="17" t="n">
        <v>2026</v>
      </c>
      <c r="D12" s="10" t="s">
        <v>307</v>
      </c>
      <c r="E12" s="63" t="n">
        <v>146</v>
      </c>
      <c r="F12" s="10" t="s">
        <v>287</v>
      </c>
      <c r="G12" s="10" t="s">
        <v>288</v>
      </c>
      <c r="H12" s="64" t="s">
        <v>304</v>
      </c>
      <c r="I12" s="10" t="s">
        <v>305</v>
      </c>
    </row>
    <row r="13" customFormat="false" ht="15" hidden="false" customHeight="false" outlineLevel="0" collapsed="false">
      <c r="B13" s="10" t="s">
        <v>107</v>
      </c>
      <c r="C13" s="17" t="n">
        <v>2019</v>
      </c>
      <c r="D13" s="10" t="s">
        <v>286</v>
      </c>
      <c r="E13" s="63" t="n">
        <v>1119</v>
      </c>
      <c r="F13" s="10" t="s">
        <v>308</v>
      </c>
      <c r="G13" s="10" t="s">
        <v>288</v>
      </c>
      <c r="H13" s="64" t="s">
        <v>289</v>
      </c>
      <c r="I13" s="10" t="s">
        <v>290</v>
      </c>
    </row>
    <row r="14" customFormat="false" ht="15" hidden="false" customHeight="false" outlineLevel="0" collapsed="false">
      <c r="B14" s="10" t="s">
        <v>107</v>
      </c>
      <c r="C14" s="17" t="n">
        <v>2020</v>
      </c>
      <c r="D14" s="10" t="s">
        <v>291</v>
      </c>
      <c r="E14" s="63" t="n">
        <v>1086</v>
      </c>
      <c r="F14" s="10" t="s">
        <v>308</v>
      </c>
      <c r="G14" s="10" t="s">
        <v>288</v>
      </c>
      <c r="H14" s="64" t="s">
        <v>292</v>
      </c>
      <c r="I14" s="10" t="s">
        <v>293</v>
      </c>
    </row>
    <row r="15" customFormat="false" ht="15" hidden="false" customHeight="false" outlineLevel="0" collapsed="false">
      <c r="B15" s="10" t="s">
        <v>107</v>
      </c>
      <c r="C15" s="17" t="n">
        <v>2021</v>
      </c>
      <c r="D15" s="10" t="s">
        <v>294</v>
      </c>
      <c r="E15" s="63" t="n">
        <v>695</v>
      </c>
      <c r="F15" s="10" t="s">
        <v>308</v>
      </c>
      <c r="G15" s="10" t="s">
        <v>288</v>
      </c>
      <c r="H15" s="64" t="s">
        <v>295</v>
      </c>
      <c r="I15" s="10" t="s">
        <v>296</v>
      </c>
    </row>
    <row r="16" customFormat="false" ht="15" hidden="false" customHeight="false" outlineLevel="0" collapsed="false">
      <c r="B16" s="10" t="s">
        <v>107</v>
      </c>
      <c r="C16" s="17" t="n">
        <v>2022</v>
      </c>
      <c r="D16" s="10" t="s">
        <v>297</v>
      </c>
      <c r="E16" s="63" t="n">
        <v>758</v>
      </c>
      <c r="F16" s="10" t="s">
        <v>308</v>
      </c>
      <c r="G16" s="10" t="s">
        <v>288</v>
      </c>
      <c r="H16" s="64" t="s">
        <v>298</v>
      </c>
      <c r="I16" s="10" t="s">
        <v>299</v>
      </c>
    </row>
    <row r="17" customFormat="false" ht="15" hidden="false" customHeight="false" outlineLevel="0" collapsed="false">
      <c r="B17" s="10" t="s">
        <v>107</v>
      </c>
      <c r="C17" s="17" t="n">
        <v>2023</v>
      </c>
      <c r="D17" s="10" t="s">
        <v>300</v>
      </c>
      <c r="E17" s="63" t="n">
        <v>969</v>
      </c>
      <c r="F17" s="10" t="s">
        <v>308</v>
      </c>
      <c r="G17" s="10" t="s">
        <v>288</v>
      </c>
      <c r="H17" s="64" t="s">
        <v>301</v>
      </c>
      <c r="I17" s="10" t="s">
        <v>302</v>
      </c>
    </row>
    <row r="18" customFormat="false" ht="15" hidden="false" customHeight="false" outlineLevel="0" collapsed="false">
      <c r="B18" s="10" t="s">
        <v>107</v>
      </c>
      <c r="C18" s="17" t="n">
        <v>2024</v>
      </c>
      <c r="D18" s="10" t="s">
        <v>303</v>
      </c>
      <c r="E18" s="63" t="n">
        <v>812</v>
      </c>
      <c r="F18" s="10" t="s">
        <v>308</v>
      </c>
      <c r="G18" s="10" t="s">
        <v>288</v>
      </c>
      <c r="H18" s="64" t="s">
        <v>304</v>
      </c>
      <c r="I18" s="10" t="s">
        <v>305</v>
      </c>
    </row>
    <row r="19" customFormat="false" ht="15" hidden="false" customHeight="false" outlineLevel="0" collapsed="false">
      <c r="B19" s="10" t="s">
        <v>107</v>
      </c>
      <c r="C19" s="17" t="n">
        <v>2025</v>
      </c>
      <c r="D19" s="10" t="s">
        <v>306</v>
      </c>
      <c r="E19" s="63" t="n">
        <v>430</v>
      </c>
      <c r="F19" s="10" t="s">
        <v>308</v>
      </c>
      <c r="G19" s="10" t="s">
        <v>288</v>
      </c>
      <c r="H19" s="64" t="s">
        <v>304</v>
      </c>
      <c r="I19" s="10" t="s">
        <v>305</v>
      </c>
    </row>
    <row r="20" customFormat="false" ht="15" hidden="false" customHeight="false" outlineLevel="0" collapsed="false">
      <c r="B20" s="10" t="s">
        <v>107</v>
      </c>
      <c r="C20" s="17" t="n">
        <v>2026</v>
      </c>
      <c r="D20" s="10" t="s">
        <v>307</v>
      </c>
      <c r="E20" s="63" t="n">
        <v>684</v>
      </c>
      <c r="F20" s="10" t="s">
        <v>308</v>
      </c>
      <c r="G20" s="10" t="s">
        <v>288</v>
      </c>
      <c r="H20" s="64" t="s">
        <v>304</v>
      </c>
      <c r="I20" s="10" t="s">
        <v>305</v>
      </c>
    </row>
    <row r="21" customFormat="false" ht="15" hidden="false" customHeight="false" outlineLevel="0" collapsed="false">
      <c r="B21" s="10" t="s">
        <v>45</v>
      </c>
      <c r="C21" s="17" t="n">
        <v>2019</v>
      </c>
      <c r="D21" s="10" t="s">
        <v>286</v>
      </c>
      <c r="E21" s="63" t="n">
        <v>4466</v>
      </c>
      <c r="F21" s="10" t="s">
        <v>309</v>
      </c>
      <c r="G21" s="10" t="s">
        <v>288</v>
      </c>
      <c r="H21" s="64" t="s">
        <v>310</v>
      </c>
      <c r="I21" s="10" t="s">
        <v>311</v>
      </c>
    </row>
    <row r="22" customFormat="false" ht="15" hidden="false" customHeight="false" outlineLevel="0" collapsed="false">
      <c r="B22" s="10" t="s">
        <v>45</v>
      </c>
      <c r="C22" s="17" t="n">
        <v>2020</v>
      </c>
      <c r="D22" s="10" t="s">
        <v>291</v>
      </c>
      <c r="E22" s="63" t="n">
        <v>8348</v>
      </c>
      <c r="F22" s="10" t="s">
        <v>309</v>
      </c>
      <c r="G22" s="10" t="s">
        <v>288</v>
      </c>
      <c r="H22" s="64" t="s">
        <v>289</v>
      </c>
      <c r="I22" s="10" t="s">
        <v>290</v>
      </c>
    </row>
    <row r="23" customFormat="false" ht="15" hidden="false" customHeight="false" outlineLevel="0" collapsed="false">
      <c r="B23" s="10" t="s">
        <v>45</v>
      </c>
      <c r="C23" s="17" t="n">
        <v>2021</v>
      </c>
      <c r="D23" s="10" t="s">
        <v>294</v>
      </c>
      <c r="E23" s="63" t="n">
        <v>9889</v>
      </c>
      <c r="F23" s="10" t="s">
        <v>309</v>
      </c>
      <c r="G23" s="10" t="s">
        <v>288</v>
      </c>
      <c r="H23" s="64" t="s">
        <v>292</v>
      </c>
      <c r="I23" s="10" t="s">
        <v>293</v>
      </c>
    </row>
    <row r="24" customFormat="false" ht="15" hidden="false" customHeight="false" outlineLevel="0" collapsed="false">
      <c r="B24" s="10" t="s">
        <v>45</v>
      </c>
      <c r="C24" s="17" t="n">
        <v>2022</v>
      </c>
      <c r="D24" s="10" t="s">
        <v>297</v>
      </c>
      <c r="E24" s="63" t="n">
        <v>8574</v>
      </c>
      <c r="F24" s="10" t="s">
        <v>309</v>
      </c>
      <c r="G24" s="10" t="s">
        <v>288</v>
      </c>
      <c r="H24" s="64" t="s">
        <v>295</v>
      </c>
      <c r="I24" s="10" t="s">
        <v>296</v>
      </c>
    </row>
    <row r="25" customFormat="false" ht="15" hidden="false" customHeight="false" outlineLevel="0" collapsed="false">
      <c r="B25" s="10" t="s">
        <v>45</v>
      </c>
      <c r="C25" s="17" t="n">
        <v>2023</v>
      </c>
      <c r="D25" s="10" t="s">
        <v>300</v>
      </c>
      <c r="E25" s="63" t="n">
        <v>7441</v>
      </c>
      <c r="F25" s="10" t="s">
        <v>309</v>
      </c>
      <c r="G25" s="10" t="s">
        <v>288</v>
      </c>
      <c r="H25" s="64" t="s">
        <v>298</v>
      </c>
      <c r="I25" s="10" t="s">
        <v>299</v>
      </c>
    </row>
    <row r="26" customFormat="false" ht="15" hidden="false" customHeight="false" outlineLevel="0" collapsed="false">
      <c r="B26" s="10" t="s">
        <v>45</v>
      </c>
      <c r="C26" s="17" t="n">
        <v>2024</v>
      </c>
      <c r="D26" s="10" t="s">
        <v>303</v>
      </c>
      <c r="E26" s="63" t="n">
        <v>9860</v>
      </c>
      <c r="F26" s="10" t="s">
        <v>309</v>
      </c>
      <c r="G26" s="10" t="s">
        <v>288</v>
      </c>
      <c r="H26" s="64" t="s">
        <v>301</v>
      </c>
      <c r="I26" s="10" t="s">
        <v>302</v>
      </c>
    </row>
    <row r="27" customFormat="false" ht="15" hidden="false" customHeight="false" outlineLevel="0" collapsed="false">
      <c r="B27" s="10" t="s">
        <v>45</v>
      </c>
      <c r="C27" s="17" t="n">
        <v>2025</v>
      </c>
      <c r="D27" s="10" t="s">
        <v>306</v>
      </c>
      <c r="E27" s="63" t="n">
        <v>7464</v>
      </c>
      <c r="F27" s="10" t="s">
        <v>309</v>
      </c>
      <c r="G27" s="10" t="s">
        <v>288</v>
      </c>
      <c r="H27" s="64" t="s">
        <v>304</v>
      </c>
      <c r="I27" s="10" t="s">
        <v>305</v>
      </c>
    </row>
    <row r="28" customFormat="false" ht="15" hidden="false" customHeight="false" outlineLevel="0" collapsed="false">
      <c r="B28" s="10" t="s">
        <v>45</v>
      </c>
      <c r="C28" s="17" t="n">
        <v>2026</v>
      </c>
      <c r="D28" s="10" t="s">
        <v>307</v>
      </c>
      <c r="E28" s="63" t="n">
        <v>7563</v>
      </c>
      <c r="F28" s="10" t="s">
        <v>309</v>
      </c>
      <c r="G28" s="10" t="s">
        <v>288</v>
      </c>
      <c r="H28" s="64" t="s">
        <v>304</v>
      </c>
      <c r="I28" s="10" t="s">
        <v>305</v>
      </c>
    </row>
    <row r="29" customFormat="false" ht="15" hidden="false" customHeight="false" outlineLevel="0" collapsed="false">
      <c r="B29" s="10" t="s">
        <v>106</v>
      </c>
      <c r="C29" s="17" t="n">
        <v>2019</v>
      </c>
      <c r="D29" s="10" t="s">
        <v>286</v>
      </c>
      <c r="E29" s="63" t="n">
        <v>5903</v>
      </c>
      <c r="F29" s="10" t="s">
        <v>312</v>
      </c>
      <c r="G29" s="10" t="s">
        <v>288</v>
      </c>
      <c r="H29" s="64" t="s">
        <v>289</v>
      </c>
      <c r="I29" s="10" t="s">
        <v>290</v>
      </c>
    </row>
    <row r="30" customFormat="false" ht="15" hidden="false" customHeight="false" outlineLevel="0" collapsed="false">
      <c r="B30" s="10" t="s">
        <v>106</v>
      </c>
      <c r="C30" s="17" t="n">
        <v>2020</v>
      </c>
      <c r="D30" s="10" t="s">
        <v>291</v>
      </c>
      <c r="E30" s="63" t="n">
        <v>2485</v>
      </c>
      <c r="F30" s="10" t="s">
        <v>312</v>
      </c>
      <c r="G30" s="10" t="s">
        <v>288</v>
      </c>
      <c r="H30" s="64" t="s">
        <v>292</v>
      </c>
      <c r="I30" s="10" t="s">
        <v>293</v>
      </c>
    </row>
    <row r="31" customFormat="false" ht="15" hidden="false" customHeight="false" outlineLevel="0" collapsed="false">
      <c r="B31" s="10" t="s">
        <v>106</v>
      </c>
      <c r="C31" s="17" t="n">
        <v>2021</v>
      </c>
      <c r="D31" s="10" t="s">
        <v>294</v>
      </c>
      <c r="E31" s="63" t="n">
        <v>6657</v>
      </c>
      <c r="F31" s="10" t="s">
        <v>312</v>
      </c>
      <c r="G31" s="10" t="s">
        <v>288</v>
      </c>
      <c r="H31" s="64" t="s">
        <v>295</v>
      </c>
      <c r="I31" s="10" t="s">
        <v>296</v>
      </c>
    </row>
    <row r="32" customFormat="false" ht="15" hidden="false" customHeight="false" outlineLevel="0" collapsed="false">
      <c r="B32" s="10" t="s">
        <v>106</v>
      </c>
      <c r="C32" s="17" t="n">
        <v>2022</v>
      </c>
      <c r="D32" s="10" t="s">
        <v>297</v>
      </c>
      <c r="E32" s="63" t="n">
        <v>5188</v>
      </c>
      <c r="F32" s="10" t="s">
        <v>312</v>
      </c>
      <c r="G32" s="10" t="s">
        <v>288</v>
      </c>
      <c r="H32" s="64" t="s">
        <v>298</v>
      </c>
      <c r="I32" s="10" t="s">
        <v>299</v>
      </c>
    </row>
    <row r="33" customFormat="false" ht="15" hidden="false" customHeight="false" outlineLevel="0" collapsed="false">
      <c r="B33" s="10" t="s">
        <v>106</v>
      </c>
      <c r="C33" s="17" t="n">
        <v>2023</v>
      </c>
      <c r="D33" s="10" t="s">
        <v>300</v>
      </c>
      <c r="E33" s="63" t="n">
        <v>5841</v>
      </c>
      <c r="F33" s="10" t="s">
        <v>312</v>
      </c>
      <c r="G33" s="10" t="s">
        <v>288</v>
      </c>
      <c r="H33" s="64" t="s">
        <v>301</v>
      </c>
      <c r="I33" s="10" t="s">
        <v>302</v>
      </c>
    </row>
    <row r="34" customFormat="false" ht="15" hidden="false" customHeight="false" outlineLevel="0" collapsed="false">
      <c r="B34" s="10" t="s">
        <v>106</v>
      </c>
      <c r="C34" s="17" t="n">
        <v>2024</v>
      </c>
      <c r="D34" s="10" t="s">
        <v>303</v>
      </c>
      <c r="E34" s="63" t="n">
        <v>7429</v>
      </c>
      <c r="F34" s="10" t="s">
        <v>312</v>
      </c>
      <c r="G34" s="10" t="s">
        <v>288</v>
      </c>
      <c r="H34" s="64" t="s">
        <v>304</v>
      </c>
      <c r="I34" s="10" t="s">
        <v>305</v>
      </c>
    </row>
    <row r="35" customFormat="false" ht="15" hidden="false" customHeight="false" outlineLevel="0" collapsed="false">
      <c r="B35" s="10" t="s">
        <v>106</v>
      </c>
      <c r="C35" s="17" t="n">
        <v>2025</v>
      </c>
      <c r="D35" s="10" t="s">
        <v>306</v>
      </c>
      <c r="E35" s="63" t="n">
        <v>3698</v>
      </c>
      <c r="F35" s="10" t="s">
        <v>312</v>
      </c>
      <c r="G35" s="10" t="s">
        <v>288</v>
      </c>
      <c r="H35" s="64" t="s">
        <v>304</v>
      </c>
      <c r="I35" s="10" t="s">
        <v>305</v>
      </c>
    </row>
    <row r="36" customFormat="false" ht="15" hidden="false" customHeight="false" outlineLevel="0" collapsed="false">
      <c r="B36" s="10" t="s">
        <v>106</v>
      </c>
      <c r="C36" s="17" t="n">
        <v>2026</v>
      </c>
      <c r="D36" s="10" t="s">
        <v>307</v>
      </c>
      <c r="E36" s="63" t="n">
        <v>2868</v>
      </c>
      <c r="F36" s="10" t="s">
        <v>312</v>
      </c>
      <c r="G36" s="10" t="s">
        <v>288</v>
      </c>
      <c r="H36" s="64" t="s">
        <v>304</v>
      </c>
      <c r="I36" s="10" t="s">
        <v>305</v>
      </c>
    </row>
    <row r="37" customFormat="false" ht="15" hidden="false" customHeight="false" outlineLevel="0" collapsed="false">
      <c r="B37" s="10" t="s">
        <v>97</v>
      </c>
      <c r="C37" s="17" t="n">
        <v>2019</v>
      </c>
      <c r="D37" s="10" t="s">
        <v>286</v>
      </c>
      <c r="E37" s="63" t="n">
        <v>21643</v>
      </c>
      <c r="F37" s="10" t="s">
        <v>313</v>
      </c>
      <c r="G37" s="10" t="s">
        <v>288</v>
      </c>
      <c r="H37" s="64" t="s">
        <v>289</v>
      </c>
      <c r="I37" s="10" t="s">
        <v>290</v>
      </c>
    </row>
    <row r="38" customFormat="false" ht="15" hidden="false" customHeight="false" outlineLevel="0" collapsed="false">
      <c r="B38" s="10" t="s">
        <v>97</v>
      </c>
      <c r="C38" s="17" t="n">
        <v>2020</v>
      </c>
      <c r="D38" s="10" t="s">
        <v>291</v>
      </c>
      <c r="E38" s="63" t="n">
        <v>21162</v>
      </c>
      <c r="F38" s="10" t="s">
        <v>313</v>
      </c>
      <c r="G38" s="10" t="s">
        <v>288</v>
      </c>
      <c r="H38" s="64" t="s">
        <v>292</v>
      </c>
      <c r="I38" s="10" t="s">
        <v>293</v>
      </c>
    </row>
    <row r="39" customFormat="false" ht="15" hidden="false" customHeight="false" outlineLevel="0" collapsed="false">
      <c r="B39" s="10" t="s">
        <v>97</v>
      </c>
      <c r="C39" s="17" t="n">
        <v>2021</v>
      </c>
      <c r="D39" s="10" t="s">
        <v>294</v>
      </c>
      <c r="E39" s="63" t="n">
        <v>24576</v>
      </c>
      <c r="F39" s="10" t="s">
        <v>313</v>
      </c>
      <c r="G39" s="10" t="s">
        <v>288</v>
      </c>
      <c r="H39" s="64" t="s">
        <v>295</v>
      </c>
      <c r="I39" s="10" t="s">
        <v>296</v>
      </c>
    </row>
    <row r="40" customFormat="false" ht="15" hidden="false" customHeight="false" outlineLevel="0" collapsed="false">
      <c r="B40" s="10" t="s">
        <v>97</v>
      </c>
      <c r="C40" s="17" t="n">
        <v>2022</v>
      </c>
      <c r="D40" s="10" t="s">
        <v>297</v>
      </c>
      <c r="E40" s="63" t="n">
        <v>25231</v>
      </c>
      <c r="F40" s="10" t="s">
        <v>313</v>
      </c>
      <c r="G40" s="10" t="s">
        <v>288</v>
      </c>
      <c r="H40" s="64" t="s">
        <v>298</v>
      </c>
      <c r="I40" s="10" t="s">
        <v>299</v>
      </c>
    </row>
    <row r="41" customFormat="false" ht="15" hidden="false" customHeight="false" outlineLevel="0" collapsed="false">
      <c r="B41" s="10" t="s">
        <v>97</v>
      </c>
      <c r="C41" s="17" t="n">
        <v>2023</v>
      </c>
      <c r="D41" s="10" t="s">
        <v>300</v>
      </c>
      <c r="E41" s="63" t="n">
        <v>28925</v>
      </c>
      <c r="F41" s="10" t="s">
        <v>313</v>
      </c>
      <c r="G41" s="10" t="s">
        <v>288</v>
      </c>
      <c r="H41" s="64" t="s">
        <v>301</v>
      </c>
      <c r="I41" s="10" t="s">
        <v>302</v>
      </c>
    </row>
    <row r="42" customFormat="false" ht="15" hidden="false" customHeight="false" outlineLevel="0" collapsed="false">
      <c r="B42" s="10" t="s">
        <v>97</v>
      </c>
      <c r="C42" s="17" t="n">
        <v>2024</v>
      </c>
      <c r="D42" s="10" t="s">
        <v>303</v>
      </c>
      <c r="E42" s="63" t="n">
        <v>28475</v>
      </c>
      <c r="F42" s="10" t="s">
        <v>313</v>
      </c>
      <c r="G42" s="10" t="s">
        <v>288</v>
      </c>
      <c r="H42" s="64" t="s">
        <v>304</v>
      </c>
      <c r="I42" s="10" t="s">
        <v>305</v>
      </c>
    </row>
    <row r="43" customFormat="false" ht="15" hidden="false" customHeight="false" outlineLevel="0" collapsed="false">
      <c r="B43" s="10" t="s">
        <v>97</v>
      </c>
      <c r="C43" s="17" t="n">
        <v>2025</v>
      </c>
      <c r="D43" s="10" t="s">
        <v>306</v>
      </c>
      <c r="E43" s="63" t="n">
        <v>26519</v>
      </c>
      <c r="F43" s="10" t="s">
        <v>313</v>
      </c>
      <c r="G43" s="10" t="s">
        <v>288</v>
      </c>
      <c r="H43" s="64" t="s">
        <v>304</v>
      </c>
      <c r="I43" s="10" t="s">
        <v>305</v>
      </c>
    </row>
    <row r="44" customFormat="false" ht="15" hidden="false" customHeight="false" outlineLevel="0" collapsed="false">
      <c r="B44" s="10" t="s">
        <v>97</v>
      </c>
      <c r="C44" s="17" t="n">
        <v>2026</v>
      </c>
      <c r="D44" s="10" t="s">
        <v>307</v>
      </c>
      <c r="E44" s="63" t="n">
        <v>26487</v>
      </c>
      <c r="F44" s="10" t="s">
        <v>313</v>
      </c>
      <c r="G44" s="10" t="s">
        <v>288</v>
      </c>
      <c r="H44" s="64" t="s">
        <v>304</v>
      </c>
      <c r="I44" s="10" t="s">
        <v>305</v>
      </c>
    </row>
    <row r="45" customFormat="false" ht="15" hidden="false" customHeight="false" outlineLevel="0" collapsed="false">
      <c r="B45" s="10" t="s">
        <v>314</v>
      </c>
      <c r="C45" s="17" t="n">
        <v>2019</v>
      </c>
      <c r="D45" s="10" t="s">
        <v>286</v>
      </c>
      <c r="E45" s="63" t="n">
        <v>16525</v>
      </c>
      <c r="F45" s="10" t="s">
        <v>315</v>
      </c>
      <c r="G45" s="10" t="s">
        <v>288</v>
      </c>
      <c r="H45" s="64" t="s">
        <v>310</v>
      </c>
      <c r="I45" s="10" t="s">
        <v>311</v>
      </c>
    </row>
    <row r="46" customFormat="false" ht="15" hidden="false" customHeight="false" outlineLevel="0" collapsed="false">
      <c r="B46" s="10" t="s">
        <v>314</v>
      </c>
      <c r="C46" s="17" t="n">
        <v>2020</v>
      </c>
      <c r="D46" s="10" t="s">
        <v>291</v>
      </c>
      <c r="E46" s="63" t="n">
        <v>20556</v>
      </c>
      <c r="F46" s="10" t="s">
        <v>315</v>
      </c>
      <c r="G46" s="10" t="s">
        <v>288</v>
      </c>
      <c r="H46" s="64" t="s">
        <v>289</v>
      </c>
      <c r="I46" s="10" t="s">
        <v>290</v>
      </c>
    </row>
    <row r="47" customFormat="false" ht="15" hidden="false" customHeight="false" outlineLevel="0" collapsed="false">
      <c r="B47" s="10" t="s">
        <v>314</v>
      </c>
      <c r="C47" s="17" t="n">
        <v>2021</v>
      </c>
      <c r="D47" s="10" t="s">
        <v>294</v>
      </c>
      <c r="E47" s="63" t="n">
        <v>26291</v>
      </c>
      <c r="F47" s="10" t="s">
        <v>315</v>
      </c>
      <c r="G47" s="10" t="s">
        <v>288</v>
      </c>
      <c r="H47" s="64" t="s">
        <v>292</v>
      </c>
      <c r="I47" s="10" t="s">
        <v>293</v>
      </c>
    </row>
    <row r="48" customFormat="false" ht="15" hidden="false" customHeight="false" outlineLevel="0" collapsed="false">
      <c r="B48" s="10" t="s">
        <v>314</v>
      </c>
      <c r="C48" s="17" t="n">
        <v>2022</v>
      </c>
      <c r="D48" s="10" t="s">
        <v>297</v>
      </c>
      <c r="E48" s="63" t="n">
        <v>28213</v>
      </c>
      <c r="F48" s="10" t="s">
        <v>315</v>
      </c>
      <c r="G48" s="10" t="s">
        <v>288</v>
      </c>
      <c r="H48" s="64" t="s">
        <v>295</v>
      </c>
      <c r="I48" s="10" t="s">
        <v>296</v>
      </c>
    </row>
    <row r="49" customFormat="false" ht="15" hidden="false" customHeight="false" outlineLevel="0" collapsed="false">
      <c r="B49" s="10" t="s">
        <v>314</v>
      </c>
      <c r="C49" s="17" t="n">
        <v>2023</v>
      </c>
      <c r="D49" s="10" t="s">
        <v>300</v>
      </c>
      <c r="E49" s="63" t="n">
        <v>25202</v>
      </c>
      <c r="F49" s="10" t="s">
        <v>315</v>
      </c>
      <c r="G49" s="10" t="s">
        <v>288</v>
      </c>
      <c r="H49" s="64" t="s">
        <v>298</v>
      </c>
      <c r="I49" s="10" t="s">
        <v>299</v>
      </c>
    </row>
    <row r="50" customFormat="false" ht="15" hidden="false" customHeight="false" outlineLevel="0" collapsed="false">
      <c r="B50" s="10" t="s">
        <v>314</v>
      </c>
      <c r="C50" s="17" t="n">
        <v>2024</v>
      </c>
      <c r="D50" s="10" t="s">
        <v>303</v>
      </c>
      <c r="E50" s="63" t="n">
        <v>25382</v>
      </c>
      <c r="F50" s="10" t="s">
        <v>315</v>
      </c>
      <c r="G50" s="10" t="s">
        <v>288</v>
      </c>
      <c r="H50" s="64" t="s">
        <v>301</v>
      </c>
      <c r="I50" s="10" t="s">
        <v>302</v>
      </c>
    </row>
    <row r="51" customFormat="false" ht="15" hidden="false" customHeight="false" outlineLevel="0" collapsed="false">
      <c r="B51" s="10" t="s">
        <v>314</v>
      </c>
      <c r="C51" s="17" t="n">
        <v>2025</v>
      </c>
      <c r="D51" s="10" t="s">
        <v>306</v>
      </c>
      <c r="E51" s="63" t="n">
        <v>23362</v>
      </c>
      <c r="F51" s="10" t="s">
        <v>315</v>
      </c>
      <c r="G51" s="10" t="s">
        <v>288</v>
      </c>
      <c r="H51" s="64" t="s">
        <v>304</v>
      </c>
      <c r="I51" s="10" t="s">
        <v>305</v>
      </c>
    </row>
    <row r="52" customFormat="false" ht="15" hidden="false" customHeight="false" outlineLevel="0" collapsed="false">
      <c r="B52" s="10" t="s">
        <v>314</v>
      </c>
      <c r="C52" s="17" t="n">
        <v>2026</v>
      </c>
      <c r="D52" s="10" t="s">
        <v>307</v>
      </c>
      <c r="E52" s="63" t="n">
        <v>24603</v>
      </c>
      <c r="F52" s="10" t="s">
        <v>315</v>
      </c>
      <c r="G52" s="10" t="s">
        <v>288</v>
      </c>
      <c r="H52" s="64" t="s">
        <v>304</v>
      </c>
      <c r="I52" s="10" t="s">
        <v>305</v>
      </c>
    </row>
    <row r="53" customFormat="false" ht="15" hidden="false" customHeight="false" outlineLevel="0" collapsed="false">
      <c r="B53" s="10" t="s">
        <v>316</v>
      </c>
      <c r="C53" s="17" t="n">
        <v>2019</v>
      </c>
      <c r="D53" s="10" t="s">
        <v>286</v>
      </c>
      <c r="E53" s="63" t="n">
        <v>7866</v>
      </c>
      <c r="F53" s="10" t="s">
        <v>317</v>
      </c>
      <c r="G53" s="10" t="s">
        <v>288</v>
      </c>
      <c r="H53" s="64" t="s">
        <v>310</v>
      </c>
      <c r="I53" s="10" t="s">
        <v>311</v>
      </c>
    </row>
    <row r="54" customFormat="false" ht="15" hidden="false" customHeight="false" outlineLevel="0" collapsed="false">
      <c r="B54" s="10" t="s">
        <v>316</v>
      </c>
      <c r="C54" s="17" t="n">
        <v>2020</v>
      </c>
      <c r="D54" s="10" t="s">
        <v>291</v>
      </c>
      <c r="E54" s="63" t="n">
        <v>8284</v>
      </c>
      <c r="F54" s="10" t="s">
        <v>317</v>
      </c>
      <c r="G54" s="10" t="s">
        <v>288</v>
      </c>
      <c r="H54" s="64" t="s">
        <v>289</v>
      </c>
      <c r="I54" s="10" t="s">
        <v>290</v>
      </c>
    </row>
    <row r="55" customFormat="false" ht="15" hidden="false" customHeight="false" outlineLevel="0" collapsed="false">
      <c r="B55" s="10" t="s">
        <v>316</v>
      </c>
      <c r="C55" s="17" t="n">
        <v>2021</v>
      </c>
      <c r="D55" s="10" t="s">
        <v>294</v>
      </c>
      <c r="E55" s="63" t="n">
        <v>9674</v>
      </c>
      <c r="F55" s="10" t="s">
        <v>317</v>
      </c>
      <c r="G55" s="10" t="s">
        <v>288</v>
      </c>
      <c r="H55" s="64" t="s">
        <v>292</v>
      </c>
      <c r="I55" s="10" t="s">
        <v>293</v>
      </c>
    </row>
    <row r="56" customFormat="false" ht="15" hidden="false" customHeight="false" outlineLevel="0" collapsed="false">
      <c r="B56" s="10" t="s">
        <v>316</v>
      </c>
      <c r="C56" s="17" t="n">
        <v>2022</v>
      </c>
      <c r="D56" s="10" t="s">
        <v>297</v>
      </c>
      <c r="E56" s="63" t="n">
        <v>10730</v>
      </c>
      <c r="F56" s="10" t="s">
        <v>317</v>
      </c>
      <c r="G56" s="10" t="s">
        <v>288</v>
      </c>
      <c r="H56" s="64" t="s">
        <v>295</v>
      </c>
      <c r="I56" s="10" t="s">
        <v>296</v>
      </c>
    </row>
    <row r="57" customFormat="false" ht="15" hidden="false" customHeight="false" outlineLevel="0" collapsed="false">
      <c r="B57" s="10" t="s">
        <v>316</v>
      </c>
      <c r="C57" s="17" t="n">
        <v>2023</v>
      </c>
      <c r="D57" s="10" t="s">
        <v>300</v>
      </c>
      <c r="E57" s="63" t="n">
        <v>9256</v>
      </c>
      <c r="F57" s="10" t="s">
        <v>317</v>
      </c>
      <c r="G57" s="10" t="s">
        <v>288</v>
      </c>
      <c r="H57" s="64" t="s">
        <v>298</v>
      </c>
      <c r="I57" s="10" t="s">
        <v>299</v>
      </c>
    </row>
    <row r="58" customFormat="false" ht="15" hidden="false" customHeight="false" outlineLevel="0" collapsed="false">
      <c r="B58" s="10" t="s">
        <v>316</v>
      </c>
      <c r="C58" s="17" t="n">
        <v>2024</v>
      </c>
      <c r="D58" s="10" t="s">
        <v>303</v>
      </c>
      <c r="E58" s="63" t="n">
        <v>10593</v>
      </c>
      <c r="F58" s="10" t="s">
        <v>317</v>
      </c>
      <c r="G58" s="10" t="s">
        <v>288</v>
      </c>
      <c r="H58" s="64" t="s">
        <v>301</v>
      </c>
      <c r="I58" s="10" t="s">
        <v>302</v>
      </c>
    </row>
    <row r="59" customFormat="false" ht="15" hidden="false" customHeight="false" outlineLevel="0" collapsed="false">
      <c r="B59" s="10" t="s">
        <v>316</v>
      </c>
      <c r="C59" s="17" t="n">
        <v>2025</v>
      </c>
      <c r="D59" s="10" t="s">
        <v>306</v>
      </c>
      <c r="E59" s="63" t="n">
        <v>10566</v>
      </c>
      <c r="F59" s="10" t="s">
        <v>317</v>
      </c>
      <c r="G59" s="10" t="s">
        <v>288</v>
      </c>
      <c r="H59" s="64" t="s">
        <v>304</v>
      </c>
      <c r="I59" s="10" t="s">
        <v>305</v>
      </c>
    </row>
    <row r="60" customFormat="false" ht="15" hidden="false" customHeight="false" outlineLevel="0" collapsed="false">
      <c r="B60" s="10" t="s">
        <v>316</v>
      </c>
      <c r="C60" s="17" t="n">
        <v>2026</v>
      </c>
      <c r="D60" s="10" t="s">
        <v>307</v>
      </c>
      <c r="E60" s="63" t="n">
        <v>12547</v>
      </c>
      <c r="F60" s="10" t="s">
        <v>317</v>
      </c>
      <c r="G60" s="10" t="s">
        <v>288</v>
      </c>
      <c r="H60" s="64" t="s">
        <v>304</v>
      </c>
      <c r="I60" s="10" t="s">
        <v>305</v>
      </c>
    </row>
    <row r="61" customFormat="false" ht="15" hidden="false" customHeight="false" outlineLevel="0" collapsed="false">
      <c r="B61" s="10" t="s">
        <v>100</v>
      </c>
      <c r="C61" s="17" t="n">
        <v>2023</v>
      </c>
      <c r="D61" s="10" t="s">
        <v>300</v>
      </c>
      <c r="E61" s="63" t="n">
        <v>703</v>
      </c>
      <c r="F61" s="10" t="s">
        <v>318</v>
      </c>
      <c r="G61" s="10" t="s">
        <v>288</v>
      </c>
      <c r="H61" s="64" t="s">
        <v>301</v>
      </c>
      <c r="I61" s="10" t="s">
        <v>302</v>
      </c>
    </row>
    <row r="62" customFormat="false" ht="15" hidden="false" customHeight="false" outlineLevel="0" collapsed="false">
      <c r="B62" s="10" t="s">
        <v>100</v>
      </c>
      <c r="C62" s="17" t="n">
        <v>2024</v>
      </c>
      <c r="D62" s="10" t="s">
        <v>303</v>
      </c>
      <c r="E62" s="63" t="n">
        <v>796</v>
      </c>
      <c r="F62" s="10" t="s">
        <v>318</v>
      </c>
      <c r="G62" s="10" t="s">
        <v>288</v>
      </c>
      <c r="H62" s="64" t="s">
        <v>304</v>
      </c>
      <c r="I62" s="10" t="s">
        <v>305</v>
      </c>
    </row>
    <row r="63" customFormat="false" ht="15" hidden="false" customHeight="false" outlineLevel="0" collapsed="false">
      <c r="B63" s="10" t="s">
        <v>100</v>
      </c>
      <c r="C63" s="17" t="n">
        <v>2025</v>
      </c>
      <c r="D63" s="10" t="s">
        <v>306</v>
      </c>
      <c r="E63" s="63" t="n">
        <v>775</v>
      </c>
      <c r="F63" s="10" t="s">
        <v>318</v>
      </c>
      <c r="G63" s="10" t="s">
        <v>288</v>
      </c>
      <c r="H63" s="64" t="s">
        <v>304</v>
      </c>
      <c r="I63" s="10" t="s">
        <v>305</v>
      </c>
    </row>
    <row r="64" customFormat="false" ht="15" hidden="false" customHeight="false" outlineLevel="0" collapsed="false">
      <c r="B64" s="10" t="s">
        <v>100</v>
      </c>
      <c r="C64" s="17" t="n">
        <v>2026</v>
      </c>
      <c r="D64" s="10" t="s">
        <v>307</v>
      </c>
      <c r="E64" s="63" t="n">
        <v>747</v>
      </c>
      <c r="F64" s="10" t="s">
        <v>318</v>
      </c>
      <c r="G64" s="10" t="s">
        <v>288</v>
      </c>
      <c r="H64" s="64" t="s">
        <v>304</v>
      </c>
      <c r="I64" s="10" t="s">
        <v>305</v>
      </c>
    </row>
    <row r="65" customFormat="false" ht="15" hidden="false" customHeight="false" outlineLevel="0" collapsed="false">
      <c r="B65" s="10" t="s">
        <v>319</v>
      </c>
      <c r="C65" s="17" t="n">
        <v>2019</v>
      </c>
      <c r="D65" s="10" t="s">
        <v>286</v>
      </c>
      <c r="E65" s="63" t="n">
        <v>705</v>
      </c>
      <c r="F65" s="10" t="s">
        <v>320</v>
      </c>
      <c r="G65" s="10" t="s">
        <v>288</v>
      </c>
      <c r="H65" s="64" t="s">
        <v>289</v>
      </c>
      <c r="I65" s="10" t="s">
        <v>290</v>
      </c>
    </row>
    <row r="66" customFormat="false" ht="15" hidden="false" customHeight="false" outlineLevel="0" collapsed="false">
      <c r="B66" s="10" t="s">
        <v>319</v>
      </c>
      <c r="C66" s="17" t="n">
        <v>2020</v>
      </c>
      <c r="D66" s="10" t="s">
        <v>291</v>
      </c>
      <c r="E66" s="63" t="n">
        <v>721</v>
      </c>
      <c r="F66" s="10" t="s">
        <v>320</v>
      </c>
      <c r="G66" s="10" t="s">
        <v>288</v>
      </c>
      <c r="H66" s="64" t="s">
        <v>292</v>
      </c>
      <c r="I66" s="10" t="s">
        <v>293</v>
      </c>
    </row>
    <row r="67" customFormat="false" ht="15" hidden="false" customHeight="false" outlineLevel="0" collapsed="false">
      <c r="B67" s="10" t="s">
        <v>319</v>
      </c>
      <c r="C67" s="17" t="n">
        <v>2021</v>
      </c>
      <c r="D67" s="10" t="s">
        <v>294</v>
      </c>
      <c r="E67" s="63" t="n">
        <v>744</v>
      </c>
      <c r="F67" s="10" t="s">
        <v>320</v>
      </c>
      <c r="G67" s="10" t="s">
        <v>288</v>
      </c>
      <c r="H67" s="64" t="s">
        <v>295</v>
      </c>
      <c r="I67" s="10" t="s">
        <v>296</v>
      </c>
    </row>
    <row r="68" customFormat="false" ht="15" hidden="false" customHeight="false" outlineLevel="0" collapsed="false">
      <c r="B68" s="10" t="s">
        <v>319</v>
      </c>
      <c r="C68" s="17" t="n">
        <v>2022</v>
      </c>
      <c r="D68" s="10" t="s">
        <v>297</v>
      </c>
      <c r="E68" s="63" t="n">
        <v>717</v>
      </c>
      <c r="F68" s="10" t="s">
        <v>320</v>
      </c>
      <c r="G68" s="10" t="s">
        <v>288</v>
      </c>
      <c r="H68" s="64" t="s">
        <v>298</v>
      </c>
      <c r="I68" s="10" t="s">
        <v>299</v>
      </c>
    </row>
    <row r="69" customFormat="false" ht="15" hidden="false" customHeight="false" outlineLevel="0" collapsed="false">
      <c r="B69" s="10" t="s">
        <v>319</v>
      </c>
      <c r="C69" s="17" t="n">
        <v>2023</v>
      </c>
      <c r="D69" s="10" t="s">
        <v>300</v>
      </c>
      <c r="E69" s="63" t="n">
        <v>703</v>
      </c>
      <c r="F69" s="10" t="s">
        <v>320</v>
      </c>
      <c r="G69" s="10" t="s">
        <v>288</v>
      </c>
      <c r="H69" s="64" t="s">
        <v>298</v>
      </c>
      <c r="I69" s="10" t="s">
        <v>299</v>
      </c>
    </row>
    <row r="70" customFormat="false" ht="15" hidden="false" customHeight="false" outlineLevel="0" collapsed="false">
      <c r="B70" s="10" t="s">
        <v>319</v>
      </c>
      <c r="C70" s="17" t="n">
        <v>2024</v>
      </c>
      <c r="D70" s="10" t="s">
        <v>303</v>
      </c>
      <c r="E70" s="63" t="n">
        <v>796</v>
      </c>
      <c r="F70" s="10" t="s">
        <v>320</v>
      </c>
      <c r="G70" s="10" t="s">
        <v>288</v>
      </c>
      <c r="H70" s="64" t="s">
        <v>298</v>
      </c>
      <c r="I70" s="10" t="s">
        <v>299</v>
      </c>
    </row>
    <row r="71" customFormat="false" ht="15" hidden="false" customHeight="false" outlineLevel="0" collapsed="false">
      <c r="B71" s="10" t="s">
        <v>321</v>
      </c>
      <c r="C71" s="17" t="n">
        <v>2019</v>
      </c>
      <c r="D71" s="10" t="s">
        <v>286</v>
      </c>
      <c r="E71" s="63" t="n">
        <v>1618400000</v>
      </c>
      <c r="F71" s="10" t="s">
        <v>322</v>
      </c>
      <c r="G71" s="10" t="s">
        <v>288</v>
      </c>
      <c r="H71" s="64" t="s">
        <v>289</v>
      </c>
      <c r="I71" s="10" t="s">
        <v>290</v>
      </c>
    </row>
    <row r="72" customFormat="false" ht="15" hidden="false" customHeight="false" outlineLevel="0" collapsed="false">
      <c r="B72" s="10" t="s">
        <v>321</v>
      </c>
      <c r="C72" s="17" t="n">
        <v>2020</v>
      </c>
      <c r="D72" s="10" t="s">
        <v>291</v>
      </c>
      <c r="E72" s="63" t="n">
        <v>1591600000</v>
      </c>
      <c r="F72" s="10" t="s">
        <v>322</v>
      </c>
      <c r="G72" s="10" t="s">
        <v>288</v>
      </c>
      <c r="H72" s="64" t="s">
        <v>292</v>
      </c>
      <c r="I72" s="10" t="s">
        <v>293</v>
      </c>
    </row>
    <row r="73" customFormat="false" ht="15" hidden="false" customHeight="false" outlineLevel="0" collapsed="false">
      <c r="B73" s="10" t="s">
        <v>321</v>
      </c>
      <c r="C73" s="17" t="n">
        <v>2021</v>
      </c>
      <c r="D73" s="10" t="s">
        <v>294</v>
      </c>
      <c r="E73" s="63" t="n">
        <v>1609400000</v>
      </c>
      <c r="F73" s="10" t="s">
        <v>322</v>
      </c>
      <c r="G73" s="10" t="s">
        <v>288</v>
      </c>
      <c r="H73" s="64" t="s">
        <v>295</v>
      </c>
      <c r="I73" s="10" t="s">
        <v>296</v>
      </c>
    </row>
    <row r="74" customFormat="false" ht="15" hidden="false" customHeight="false" outlineLevel="0" collapsed="false">
      <c r="B74" s="10" t="s">
        <v>321</v>
      </c>
      <c r="C74" s="17" t="n">
        <v>2022</v>
      </c>
      <c r="D74" s="10" t="s">
        <v>297</v>
      </c>
      <c r="E74" s="63" t="n">
        <v>1610800000</v>
      </c>
      <c r="F74" s="10" t="s">
        <v>322</v>
      </c>
      <c r="G74" s="10" t="s">
        <v>288</v>
      </c>
      <c r="H74" s="64" t="s">
        <v>298</v>
      </c>
      <c r="I74" s="10" t="s">
        <v>299</v>
      </c>
    </row>
    <row r="75" customFormat="false" ht="15" hidden="false" customHeight="false" outlineLevel="0" collapsed="false">
      <c r="B75" s="10" t="s">
        <v>321</v>
      </c>
      <c r="C75" s="17" t="n">
        <v>2023</v>
      </c>
      <c r="D75" s="10" t="s">
        <v>300</v>
      </c>
      <c r="E75" s="63" t="n">
        <v>1569800000</v>
      </c>
      <c r="F75" s="10" t="s">
        <v>322</v>
      </c>
      <c r="G75" s="10" t="s">
        <v>288</v>
      </c>
      <c r="H75" s="64" t="s">
        <v>301</v>
      </c>
      <c r="I75" s="10" t="s">
        <v>302</v>
      </c>
    </row>
    <row r="76" customFormat="false" ht="15" hidden="false" customHeight="false" outlineLevel="0" collapsed="false">
      <c r="B76" s="10" t="s">
        <v>321</v>
      </c>
      <c r="C76" s="17" t="n">
        <v>2024</v>
      </c>
      <c r="D76" s="10" t="s">
        <v>303</v>
      </c>
      <c r="E76" s="63" t="n">
        <v>1529700000</v>
      </c>
      <c r="F76" s="10" t="s">
        <v>322</v>
      </c>
      <c r="G76" s="10" t="s">
        <v>288</v>
      </c>
      <c r="H76" s="64" t="s">
        <v>304</v>
      </c>
      <c r="I76" s="10" t="s">
        <v>305</v>
      </c>
    </row>
    <row r="77" customFormat="false" ht="15" hidden="false" customHeight="false" outlineLevel="0" collapsed="false">
      <c r="B77" s="10" t="s">
        <v>321</v>
      </c>
      <c r="C77" s="17" t="n">
        <v>2025</v>
      </c>
      <c r="D77" s="10" t="s">
        <v>306</v>
      </c>
      <c r="E77" s="63" t="n">
        <v>1487600000</v>
      </c>
      <c r="F77" s="10" t="s">
        <v>322</v>
      </c>
      <c r="G77" s="10" t="s">
        <v>288</v>
      </c>
      <c r="H77" s="64" t="s">
        <v>304</v>
      </c>
      <c r="I77" s="10" t="s">
        <v>305</v>
      </c>
    </row>
    <row r="78" customFormat="false" ht="15" hidden="false" customHeight="false" outlineLevel="0" collapsed="false">
      <c r="B78" s="10" t="s">
        <v>321</v>
      </c>
      <c r="C78" s="17" t="n">
        <v>2026</v>
      </c>
      <c r="D78" s="10" t="s">
        <v>307</v>
      </c>
      <c r="E78" s="63" t="n">
        <v>1481000000</v>
      </c>
      <c r="F78" s="10" t="s">
        <v>322</v>
      </c>
      <c r="G78" s="10" t="s">
        <v>288</v>
      </c>
      <c r="H78" s="64" t="s">
        <v>304</v>
      </c>
      <c r="I78" s="10" t="s">
        <v>305</v>
      </c>
    </row>
    <row r="79" customFormat="false" ht="15" hidden="false" customHeight="false" outlineLevel="0" collapsed="false">
      <c r="B79" s="10" t="s">
        <v>110</v>
      </c>
      <c r="C79" s="17" t="n">
        <v>2019</v>
      </c>
      <c r="D79" s="10" t="s">
        <v>286</v>
      </c>
      <c r="E79" s="63" t="n">
        <v>1332</v>
      </c>
      <c r="F79" s="10" t="s">
        <v>323</v>
      </c>
      <c r="G79" s="10" t="s">
        <v>288</v>
      </c>
      <c r="H79" s="64" t="s">
        <v>289</v>
      </c>
      <c r="I79" s="10" t="s">
        <v>290</v>
      </c>
    </row>
    <row r="80" customFormat="false" ht="15" hidden="false" customHeight="false" outlineLevel="0" collapsed="false">
      <c r="B80" s="10" t="s">
        <v>110</v>
      </c>
      <c r="C80" s="17" t="n">
        <v>2020</v>
      </c>
      <c r="D80" s="10" t="s">
        <v>291</v>
      </c>
      <c r="E80" s="63" t="n">
        <v>1452</v>
      </c>
      <c r="F80" s="10" t="s">
        <v>323</v>
      </c>
      <c r="G80" s="10" t="s">
        <v>288</v>
      </c>
      <c r="H80" s="64" t="s">
        <v>292</v>
      </c>
      <c r="I80" s="10" t="s">
        <v>293</v>
      </c>
    </row>
    <row r="81" customFormat="false" ht="15" hidden="false" customHeight="false" outlineLevel="0" collapsed="false">
      <c r="B81" s="10" t="s">
        <v>110</v>
      </c>
      <c r="C81" s="17" t="n">
        <v>2021</v>
      </c>
      <c r="D81" s="10" t="s">
        <v>294</v>
      </c>
      <c r="E81" s="63" t="n">
        <v>1638</v>
      </c>
      <c r="F81" s="10" t="s">
        <v>323</v>
      </c>
      <c r="G81" s="10" t="s">
        <v>288</v>
      </c>
      <c r="H81" s="64" t="s">
        <v>295</v>
      </c>
      <c r="I81" s="10" t="s">
        <v>296</v>
      </c>
    </row>
    <row r="82" customFormat="false" ht="15" hidden="false" customHeight="false" outlineLevel="0" collapsed="false">
      <c r="B82" s="10" t="s">
        <v>110</v>
      </c>
      <c r="C82" s="17" t="n">
        <v>2022</v>
      </c>
      <c r="D82" s="10" t="s">
        <v>297</v>
      </c>
      <c r="E82" s="63" t="n">
        <v>1837</v>
      </c>
      <c r="F82" s="10" t="s">
        <v>323</v>
      </c>
      <c r="G82" s="10" t="s">
        <v>288</v>
      </c>
      <c r="H82" s="64" t="s">
        <v>298</v>
      </c>
      <c r="I82" s="10" t="s">
        <v>299</v>
      </c>
    </row>
    <row r="83" customFormat="false" ht="15" hidden="false" customHeight="false" outlineLevel="0" collapsed="false">
      <c r="B83" s="10" t="s">
        <v>110</v>
      </c>
      <c r="C83" s="17" t="n">
        <v>2023</v>
      </c>
      <c r="D83" s="10" t="s">
        <v>300</v>
      </c>
      <c r="E83" s="63" t="n">
        <v>2012</v>
      </c>
      <c r="F83" s="10" t="s">
        <v>323</v>
      </c>
      <c r="G83" s="10" t="s">
        <v>288</v>
      </c>
      <c r="H83" s="64" t="s">
        <v>301</v>
      </c>
      <c r="I83" s="10" t="s">
        <v>302</v>
      </c>
    </row>
    <row r="84" customFormat="false" ht="15" hidden="false" customHeight="false" outlineLevel="0" collapsed="false">
      <c r="B84" s="10" t="s">
        <v>110</v>
      </c>
      <c r="C84" s="17" t="n">
        <v>2024</v>
      </c>
      <c r="D84" s="10" t="s">
        <v>303</v>
      </c>
      <c r="E84" s="63" t="n">
        <v>2169</v>
      </c>
      <c r="F84" s="10" t="s">
        <v>323</v>
      </c>
      <c r="G84" s="10" t="s">
        <v>288</v>
      </c>
      <c r="H84" s="64" t="s">
        <v>304</v>
      </c>
      <c r="I84" s="10" t="s">
        <v>305</v>
      </c>
    </row>
    <row r="85" customFormat="false" ht="15" hidden="false" customHeight="false" outlineLevel="0" collapsed="false">
      <c r="B85" s="10" t="s">
        <v>110</v>
      </c>
      <c r="C85" s="17" t="n">
        <v>2025</v>
      </c>
      <c r="D85" s="10" t="s">
        <v>306</v>
      </c>
      <c r="E85" s="63" t="n">
        <v>2300</v>
      </c>
      <c r="F85" s="10" t="s">
        <v>323</v>
      </c>
      <c r="G85" s="10" t="s">
        <v>288</v>
      </c>
      <c r="H85" s="64" t="s">
        <v>304</v>
      </c>
      <c r="I85" s="10" t="s">
        <v>305</v>
      </c>
    </row>
    <row r="86" customFormat="false" ht="15" hidden="false" customHeight="false" outlineLevel="0" collapsed="false">
      <c r="B86" s="10" t="s">
        <v>110</v>
      </c>
      <c r="C86" s="17" t="n">
        <v>2026</v>
      </c>
      <c r="D86" s="10" t="s">
        <v>307</v>
      </c>
      <c r="E86" s="63" t="n">
        <v>2407</v>
      </c>
      <c r="F86" s="10" t="s">
        <v>323</v>
      </c>
      <c r="G86" s="10" t="s">
        <v>288</v>
      </c>
      <c r="H86" s="64" t="s">
        <v>304</v>
      </c>
      <c r="I86" s="10" t="s">
        <v>305</v>
      </c>
    </row>
    <row r="87" customFormat="false" ht="15" hidden="false" customHeight="false" outlineLevel="0" collapsed="false">
      <c r="B87" s="10" t="s">
        <v>324</v>
      </c>
      <c r="C87" s="17" t="n">
        <v>2019</v>
      </c>
      <c r="D87" s="10" t="s">
        <v>286</v>
      </c>
      <c r="E87" s="63" t="n">
        <v>2.49</v>
      </c>
      <c r="F87" s="10" t="s">
        <v>325</v>
      </c>
      <c r="G87" s="10" t="s">
        <v>288</v>
      </c>
      <c r="H87" s="64" t="s">
        <v>289</v>
      </c>
      <c r="I87" s="10" t="s">
        <v>290</v>
      </c>
    </row>
    <row r="88" customFormat="false" ht="15" hidden="false" customHeight="false" outlineLevel="0" collapsed="false">
      <c r="B88" s="10" t="s">
        <v>324</v>
      </c>
      <c r="C88" s="17" t="n">
        <v>2020</v>
      </c>
      <c r="D88" s="10" t="s">
        <v>291</v>
      </c>
      <c r="E88" s="63" t="n">
        <v>1.6</v>
      </c>
      <c r="F88" s="10" t="s">
        <v>325</v>
      </c>
      <c r="G88" s="10" t="s">
        <v>288</v>
      </c>
      <c r="H88" s="64" t="s">
        <v>292</v>
      </c>
      <c r="I88" s="10" t="s">
        <v>293</v>
      </c>
    </row>
    <row r="89" customFormat="false" ht="15" hidden="false" customHeight="false" outlineLevel="0" collapsed="false">
      <c r="B89" s="10" t="s">
        <v>324</v>
      </c>
      <c r="C89" s="17" t="n">
        <v>2021</v>
      </c>
      <c r="D89" s="10" t="s">
        <v>294</v>
      </c>
      <c r="E89" s="63" t="n">
        <v>3.56</v>
      </c>
      <c r="F89" s="10" t="s">
        <v>325</v>
      </c>
      <c r="G89" s="10" t="s">
        <v>288</v>
      </c>
      <c r="H89" s="64" t="s">
        <v>295</v>
      </c>
      <c r="I89" s="10" t="s">
        <v>296</v>
      </c>
    </row>
    <row r="90" customFormat="false" ht="15" hidden="false" customHeight="false" outlineLevel="0" collapsed="false">
      <c r="B90" s="10" t="s">
        <v>324</v>
      </c>
      <c r="C90" s="17" t="n">
        <v>2022</v>
      </c>
      <c r="D90" s="10" t="s">
        <v>297</v>
      </c>
      <c r="E90" s="63" t="n">
        <v>3.75</v>
      </c>
      <c r="F90" s="10" t="s">
        <v>325</v>
      </c>
      <c r="G90" s="10" t="s">
        <v>288</v>
      </c>
      <c r="H90" s="64" t="s">
        <v>298</v>
      </c>
      <c r="I90" s="10" t="s">
        <v>299</v>
      </c>
    </row>
    <row r="91" customFormat="false" ht="15" hidden="false" customHeight="false" outlineLevel="0" collapsed="false">
      <c r="B91" s="10" t="s">
        <v>324</v>
      </c>
      <c r="C91" s="17" t="n">
        <v>2023</v>
      </c>
      <c r="D91" s="10" t="s">
        <v>300</v>
      </c>
      <c r="E91" s="63" t="n">
        <v>3.23</v>
      </c>
      <c r="F91" s="10" t="s">
        <v>325</v>
      </c>
      <c r="G91" s="10" t="s">
        <v>288</v>
      </c>
      <c r="H91" s="64" t="s">
        <v>301</v>
      </c>
      <c r="I91" s="10" t="s">
        <v>302</v>
      </c>
    </row>
    <row r="92" customFormat="false" ht="15" hidden="false" customHeight="false" outlineLevel="0" collapsed="false">
      <c r="B92" s="10" t="s">
        <v>324</v>
      </c>
      <c r="C92" s="17" t="n">
        <v>2024</v>
      </c>
      <c r="D92" s="10" t="s">
        <v>303</v>
      </c>
      <c r="E92" s="63" t="n">
        <v>3.73</v>
      </c>
      <c r="F92" s="10" t="s">
        <v>325</v>
      </c>
      <c r="G92" s="10" t="s">
        <v>288</v>
      </c>
      <c r="H92" s="64" t="s">
        <v>304</v>
      </c>
      <c r="I92" s="10" t="s">
        <v>305</v>
      </c>
    </row>
    <row r="93" customFormat="false" ht="15" hidden="false" customHeight="false" outlineLevel="0" collapsed="false">
      <c r="B93" s="10" t="s">
        <v>324</v>
      </c>
      <c r="C93" s="17" t="n">
        <v>2025</v>
      </c>
      <c r="D93" s="10" t="s">
        <v>306</v>
      </c>
      <c r="E93" s="63" t="n">
        <v>2.16</v>
      </c>
      <c r="F93" s="10" t="s">
        <v>325</v>
      </c>
      <c r="G93" s="10" t="s">
        <v>288</v>
      </c>
      <c r="H93" s="64" t="s">
        <v>304</v>
      </c>
      <c r="I93" s="10" t="s">
        <v>305</v>
      </c>
    </row>
    <row r="94" customFormat="false" ht="15" hidden="false" customHeight="false" outlineLevel="0" collapsed="false">
      <c r="B94" s="10" t="s">
        <v>324</v>
      </c>
      <c r="C94" s="17" t="n">
        <v>2026</v>
      </c>
      <c r="D94" s="10" t="s">
        <v>307</v>
      </c>
      <c r="E94" s="63" t="n">
        <v>2.1</v>
      </c>
      <c r="F94" s="10" t="s">
        <v>325</v>
      </c>
      <c r="G94" s="10" t="s">
        <v>288</v>
      </c>
      <c r="H94" s="64" t="s">
        <v>304</v>
      </c>
      <c r="I94" s="10" t="s">
        <v>305</v>
      </c>
    </row>
    <row r="95" customFormat="false" ht="15" hidden="false" customHeight="false" outlineLevel="0" collapsed="false">
      <c r="B95" s="10" t="s">
        <v>116</v>
      </c>
      <c r="C95" s="17" t="n">
        <v>2019</v>
      </c>
      <c r="D95" s="10" t="s">
        <v>286</v>
      </c>
      <c r="E95" s="63" t="n">
        <v>9040</v>
      </c>
      <c r="F95" s="10" t="s">
        <v>326</v>
      </c>
      <c r="G95" s="10" t="s">
        <v>288</v>
      </c>
      <c r="H95" s="64" t="s">
        <v>292</v>
      </c>
      <c r="I95" s="10" t="s">
        <v>293</v>
      </c>
    </row>
    <row r="96" customFormat="false" ht="15" hidden="false" customHeight="false" outlineLevel="0" collapsed="false">
      <c r="B96" s="10" t="s">
        <v>116</v>
      </c>
      <c r="C96" s="17" t="n">
        <v>2020</v>
      </c>
      <c r="D96" s="10" t="s">
        <v>291</v>
      </c>
      <c r="E96" s="63" t="n">
        <v>8055</v>
      </c>
      <c r="F96" s="10" t="s">
        <v>326</v>
      </c>
      <c r="G96" s="10" t="s">
        <v>288</v>
      </c>
      <c r="H96" s="64" t="s">
        <v>295</v>
      </c>
      <c r="I96" s="10" t="s">
        <v>296</v>
      </c>
    </row>
    <row r="97" customFormat="false" ht="15" hidden="false" customHeight="false" outlineLevel="0" collapsed="false">
      <c r="B97" s="10" t="s">
        <v>116</v>
      </c>
      <c r="C97" s="17" t="n">
        <v>2021</v>
      </c>
      <c r="D97" s="10" t="s">
        <v>294</v>
      </c>
      <c r="E97" s="63" t="n">
        <v>12767</v>
      </c>
      <c r="F97" s="10" t="s">
        <v>326</v>
      </c>
      <c r="G97" s="10" t="s">
        <v>288</v>
      </c>
      <c r="H97" s="64" t="s">
        <v>298</v>
      </c>
      <c r="I97" s="10" t="s">
        <v>299</v>
      </c>
    </row>
    <row r="98" customFormat="false" ht="15" hidden="false" customHeight="false" outlineLevel="0" collapsed="false">
      <c r="B98" s="10" t="s">
        <v>116</v>
      </c>
      <c r="C98" s="17" t="n">
        <v>2022</v>
      </c>
      <c r="D98" s="10" t="s">
        <v>297</v>
      </c>
      <c r="E98" s="63" t="n">
        <v>15281</v>
      </c>
      <c r="F98" s="10" t="s">
        <v>326</v>
      </c>
      <c r="G98" s="10" t="s">
        <v>288</v>
      </c>
      <c r="H98" s="64" t="s">
        <v>301</v>
      </c>
      <c r="I98" s="10" t="s">
        <v>302</v>
      </c>
    </row>
    <row r="99" customFormat="false" ht="15" hidden="false" customHeight="false" outlineLevel="0" collapsed="false">
      <c r="B99" s="10" t="s">
        <v>116</v>
      </c>
      <c r="C99" s="17" t="n">
        <v>2023</v>
      </c>
      <c r="D99" s="10" t="s">
        <v>300</v>
      </c>
      <c r="E99" s="63" t="n">
        <v>14004</v>
      </c>
      <c r="F99" s="10" t="s">
        <v>326</v>
      </c>
      <c r="G99" s="10" t="s">
        <v>288</v>
      </c>
      <c r="H99" s="64" t="s">
        <v>304</v>
      </c>
      <c r="I99" s="10" t="s">
        <v>305</v>
      </c>
    </row>
    <row r="100" customFormat="false" ht="15" hidden="false" customHeight="false" outlineLevel="0" collapsed="false">
      <c r="B100" s="10" t="s">
        <v>116</v>
      </c>
      <c r="C100" s="17" t="n">
        <v>2024</v>
      </c>
      <c r="D100" s="10" t="s">
        <v>303</v>
      </c>
      <c r="E100" s="63" t="n">
        <v>14430</v>
      </c>
      <c r="F100" s="10" t="s">
        <v>326</v>
      </c>
      <c r="G100" s="10" t="s">
        <v>288</v>
      </c>
      <c r="H100" s="64" t="s">
        <v>304</v>
      </c>
      <c r="I100" s="10" t="s">
        <v>305</v>
      </c>
    </row>
    <row r="101" customFormat="false" ht="15" hidden="false" customHeight="false" outlineLevel="0" collapsed="false">
      <c r="B101" s="10" t="s">
        <v>116</v>
      </c>
      <c r="C101" s="17" t="n">
        <v>2025</v>
      </c>
      <c r="D101" s="10" t="s">
        <v>306</v>
      </c>
      <c r="E101" s="63" t="n">
        <v>13213</v>
      </c>
      <c r="F101" s="10" t="s">
        <v>326</v>
      </c>
      <c r="G101" s="10" t="s">
        <v>288</v>
      </c>
      <c r="H101" s="64" t="s">
        <v>304</v>
      </c>
      <c r="I101" s="10" t="s">
        <v>305</v>
      </c>
    </row>
    <row r="102" customFormat="false" ht="15" hidden="false" customHeight="false" outlineLevel="0" collapsed="false">
      <c r="B102" s="10" t="s">
        <v>116</v>
      </c>
      <c r="C102" s="17" t="n">
        <v>2026</v>
      </c>
      <c r="D102" s="10" t="s">
        <v>307</v>
      </c>
      <c r="E102" s="63" t="n">
        <v>14865</v>
      </c>
      <c r="F102" s="10" t="s">
        <v>326</v>
      </c>
      <c r="G102" s="10" t="s">
        <v>288</v>
      </c>
      <c r="H102" s="64" t="s">
        <v>304</v>
      </c>
      <c r="I102" s="10" t="s">
        <v>305</v>
      </c>
    </row>
    <row r="103" customFormat="false" ht="15" hidden="false" customHeight="false" outlineLevel="0" collapsed="false">
      <c r="B103" s="10" t="s">
        <v>327</v>
      </c>
      <c r="C103" s="17" t="n">
        <v>2019</v>
      </c>
      <c r="D103" s="10" t="s">
        <v>286</v>
      </c>
      <c r="E103" s="63" t="n">
        <v>154</v>
      </c>
      <c r="F103" s="10" t="s">
        <v>327</v>
      </c>
      <c r="G103" s="10" t="s">
        <v>288</v>
      </c>
      <c r="H103" s="64" t="s">
        <v>310</v>
      </c>
      <c r="I103" s="10" t="s">
        <v>311</v>
      </c>
    </row>
    <row r="104" customFormat="false" ht="15" hidden="false" customHeight="false" outlineLevel="0" collapsed="false">
      <c r="B104" s="10" t="s">
        <v>327</v>
      </c>
      <c r="C104" s="17" t="n">
        <v>2020</v>
      </c>
      <c r="D104" s="10" t="s">
        <v>291</v>
      </c>
      <c r="E104" s="63" t="n">
        <v>223</v>
      </c>
      <c r="F104" s="10" t="s">
        <v>327</v>
      </c>
      <c r="G104" s="10" t="s">
        <v>288</v>
      </c>
      <c r="H104" s="64" t="s">
        <v>289</v>
      </c>
      <c r="I104" s="10" t="s">
        <v>290</v>
      </c>
    </row>
    <row r="105" customFormat="false" ht="15" hidden="false" customHeight="false" outlineLevel="0" collapsed="false">
      <c r="B105" s="10" t="s">
        <v>327</v>
      </c>
      <c r="C105" s="17" t="n">
        <v>2021</v>
      </c>
      <c r="D105" s="10" t="s">
        <v>294</v>
      </c>
      <c r="E105" s="63" t="n">
        <v>242</v>
      </c>
      <c r="F105" s="10" t="s">
        <v>327</v>
      </c>
      <c r="G105" s="10" t="s">
        <v>288</v>
      </c>
      <c r="H105" s="64" t="s">
        <v>292</v>
      </c>
      <c r="I105" s="10" t="s">
        <v>293</v>
      </c>
    </row>
    <row r="106" customFormat="false" ht="15" hidden="false" customHeight="false" outlineLevel="0" collapsed="false">
      <c r="B106" s="10" t="s">
        <v>327</v>
      </c>
      <c r="C106" s="17" t="n">
        <v>2022</v>
      </c>
      <c r="D106" s="10" t="s">
        <v>297</v>
      </c>
      <c r="E106" s="63" t="n">
        <v>284</v>
      </c>
      <c r="F106" s="10" t="s">
        <v>327</v>
      </c>
      <c r="G106" s="10" t="s">
        <v>288</v>
      </c>
      <c r="H106" s="64" t="s">
        <v>295</v>
      </c>
      <c r="I106" s="10" t="s">
        <v>296</v>
      </c>
    </row>
    <row r="107" customFormat="false" ht="15" hidden="false" customHeight="false" outlineLevel="0" collapsed="false">
      <c r="B107" s="10" t="s">
        <v>327</v>
      </c>
      <c r="C107" s="17" t="n">
        <v>2023</v>
      </c>
      <c r="D107" s="10" t="s">
        <v>300</v>
      </c>
      <c r="E107" s="63" t="n">
        <v>281</v>
      </c>
      <c r="F107" s="10" t="s">
        <v>327</v>
      </c>
      <c r="G107" s="10" t="s">
        <v>288</v>
      </c>
      <c r="H107" s="64" t="s">
        <v>298</v>
      </c>
      <c r="I107" s="10" t="s">
        <v>299</v>
      </c>
    </row>
    <row r="108" customFormat="false" ht="15" hidden="false" customHeight="false" outlineLevel="0" collapsed="false">
      <c r="B108" s="10" t="s">
        <v>327</v>
      </c>
      <c r="C108" s="17" t="n">
        <v>2024</v>
      </c>
      <c r="D108" s="10" t="s">
        <v>303</v>
      </c>
      <c r="E108" s="63" t="n">
        <v>240</v>
      </c>
      <c r="F108" s="10" t="s">
        <v>327</v>
      </c>
      <c r="G108" s="10" t="s">
        <v>288</v>
      </c>
      <c r="H108" s="64" t="s">
        <v>301</v>
      </c>
      <c r="I108" s="10" t="s">
        <v>302</v>
      </c>
    </row>
    <row r="109" customFormat="false" ht="15" hidden="false" customHeight="false" outlineLevel="0" collapsed="false">
      <c r="B109" s="10" t="s">
        <v>327</v>
      </c>
      <c r="C109" s="17" t="n">
        <v>2025</v>
      </c>
      <c r="D109" s="10" t="s">
        <v>306</v>
      </c>
      <c r="E109" s="63" t="n">
        <v>240</v>
      </c>
      <c r="F109" s="10" t="s">
        <v>327</v>
      </c>
      <c r="G109" s="10" t="s">
        <v>288</v>
      </c>
      <c r="H109" s="64" t="s">
        <v>304</v>
      </c>
      <c r="I109" s="10" t="s">
        <v>305</v>
      </c>
    </row>
    <row r="110" customFormat="false" ht="15" hidden="false" customHeight="false" outlineLevel="0" collapsed="false">
      <c r="B110" s="10" t="s">
        <v>327</v>
      </c>
      <c r="C110" s="17" t="n">
        <v>2026</v>
      </c>
      <c r="D110" s="10" t="s">
        <v>307</v>
      </c>
      <c r="E110" s="63" t="n">
        <v>240</v>
      </c>
      <c r="F110" s="10" t="s">
        <v>327</v>
      </c>
      <c r="G110" s="10" t="s">
        <v>288</v>
      </c>
      <c r="H110" s="64" t="s">
        <v>304</v>
      </c>
      <c r="I110" s="10" t="s">
        <v>305</v>
      </c>
    </row>
    <row r="111" customFormat="false" ht="15" hidden="false" customHeight="false" outlineLevel="0" collapsed="false">
      <c r="B111" s="10" t="s">
        <v>98</v>
      </c>
      <c r="C111" s="17" t="n">
        <v>2019</v>
      </c>
      <c r="D111" s="10" t="s">
        <v>286</v>
      </c>
      <c r="E111" s="63" t="n">
        <v>17474</v>
      </c>
      <c r="F111" s="10" t="s">
        <v>328</v>
      </c>
      <c r="G111" s="10" t="s">
        <v>288</v>
      </c>
      <c r="H111" s="64" t="s">
        <v>289</v>
      </c>
      <c r="I111" s="10" t="s">
        <v>290</v>
      </c>
    </row>
    <row r="112" customFormat="false" ht="15" hidden="false" customHeight="false" outlineLevel="0" collapsed="false">
      <c r="B112" s="10" t="s">
        <v>98</v>
      </c>
      <c r="C112" s="17" t="n">
        <v>2020</v>
      </c>
      <c r="D112" s="10" t="s">
        <v>291</v>
      </c>
      <c r="E112" s="63" t="n">
        <v>16241</v>
      </c>
      <c r="F112" s="10" t="s">
        <v>328</v>
      </c>
      <c r="G112" s="10" t="s">
        <v>288</v>
      </c>
      <c r="H112" s="64" t="s">
        <v>292</v>
      </c>
      <c r="I112" s="10" t="s">
        <v>293</v>
      </c>
    </row>
    <row r="113" customFormat="false" ht="15" hidden="false" customHeight="false" outlineLevel="0" collapsed="false">
      <c r="B113" s="10" t="s">
        <v>98</v>
      </c>
      <c r="C113" s="17" t="n">
        <v>2021</v>
      </c>
      <c r="D113" s="10" t="s">
        <v>294</v>
      </c>
      <c r="E113" s="63" t="n">
        <v>19962</v>
      </c>
      <c r="F113" s="10" t="s">
        <v>328</v>
      </c>
      <c r="G113" s="10" t="s">
        <v>288</v>
      </c>
      <c r="H113" s="64" t="s">
        <v>295</v>
      </c>
      <c r="I113" s="10" t="s">
        <v>296</v>
      </c>
    </row>
    <row r="114" customFormat="false" ht="15" hidden="false" customHeight="false" outlineLevel="0" collapsed="false">
      <c r="B114" s="10" t="s">
        <v>98</v>
      </c>
      <c r="C114" s="17" t="n">
        <v>2022</v>
      </c>
      <c r="D114" s="10" t="s">
        <v>297</v>
      </c>
      <c r="E114" s="63" t="n">
        <v>21479</v>
      </c>
      <c r="F114" s="10" t="s">
        <v>328</v>
      </c>
      <c r="G114" s="10" t="s">
        <v>288</v>
      </c>
      <c r="H114" s="64" t="s">
        <v>298</v>
      </c>
      <c r="I114" s="10" t="s">
        <v>299</v>
      </c>
    </row>
    <row r="115" customFormat="false" ht="15" hidden="false" customHeight="false" outlineLevel="0" collapsed="false">
      <c r="B115" s="10" t="s">
        <v>98</v>
      </c>
      <c r="C115" s="17" t="n">
        <v>2023</v>
      </c>
      <c r="D115" s="10" t="s">
        <v>300</v>
      </c>
      <c r="E115" s="63" t="n">
        <v>22292</v>
      </c>
      <c r="F115" s="10" t="s">
        <v>328</v>
      </c>
      <c r="G115" s="10" t="s">
        <v>288</v>
      </c>
      <c r="H115" s="64" t="s">
        <v>301</v>
      </c>
      <c r="I115" s="10" t="s">
        <v>302</v>
      </c>
    </row>
    <row r="116" customFormat="false" ht="15" hidden="false" customHeight="false" outlineLevel="0" collapsed="false">
      <c r="B116" s="10" t="s">
        <v>98</v>
      </c>
      <c r="C116" s="17" t="n">
        <v>2024</v>
      </c>
      <c r="D116" s="10" t="s">
        <v>303</v>
      </c>
      <c r="E116" s="63" t="n">
        <v>22887</v>
      </c>
      <c r="F116" s="10" t="s">
        <v>328</v>
      </c>
      <c r="G116" s="10" t="s">
        <v>288</v>
      </c>
      <c r="H116" s="64" t="s">
        <v>304</v>
      </c>
      <c r="I116" s="10" t="s">
        <v>305</v>
      </c>
    </row>
    <row r="117" customFormat="false" ht="15" hidden="false" customHeight="false" outlineLevel="0" collapsed="false">
      <c r="B117" s="10" t="s">
        <v>98</v>
      </c>
      <c r="C117" s="17" t="n">
        <v>2025</v>
      </c>
      <c r="D117" s="10" t="s">
        <v>306</v>
      </c>
      <c r="E117" s="63" t="n">
        <v>19790</v>
      </c>
      <c r="F117" s="10" t="s">
        <v>328</v>
      </c>
      <c r="G117" s="10" t="s">
        <v>288</v>
      </c>
      <c r="H117" s="64" t="s">
        <v>304</v>
      </c>
      <c r="I117" s="10" t="s">
        <v>305</v>
      </c>
    </row>
    <row r="118" customFormat="false" ht="15" hidden="false" customHeight="false" outlineLevel="0" collapsed="false">
      <c r="B118" s="10" t="s">
        <v>98</v>
      </c>
      <c r="C118" s="17" t="n">
        <v>2026</v>
      </c>
      <c r="D118" s="10" t="s">
        <v>307</v>
      </c>
      <c r="E118" s="63" t="n">
        <v>19911</v>
      </c>
      <c r="F118" s="10" t="s">
        <v>328</v>
      </c>
      <c r="G118" s="10" t="s">
        <v>288</v>
      </c>
      <c r="H118" s="64" t="s">
        <v>304</v>
      </c>
      <c r="I118" s="10" t="s">
        <v>305</v>
      </c>
    </row>
    <row r="119" customFormat="false" ht="15" hidden="false" customHeight="false" outlineLevel="0" collapsed="false">
      <c r="B119" s="10" t="s">
        <v>104</v>
      </c>
      <c r="C119" s="17" t="n">
        <v>2019</v>
      </c>
      <c r="D119" s="10" t="s">
        <v>286</v>
      </c>
      <c r="E119" s="63" t="n">
        <v>772</v>
      </c>
      <c r="F119" s="10" t="s">
        <v>329</v>
      </c>
      <c r="G119" s="10" t="s">
        <v>288</v>
      </c>
      <c r="H119" s="64" t="s">
        <v>289</v>
      </c>
      <c r="I119" s="10" t="s">
        <v>290</v>
      </c>
    </row>
    <row r="120" customFormat="false" ht="15" hidden="false" customHeight="false" outlineLevel="0" collapsed="false">
      <c r="B120" s="10" t="s">
        <v>104</v>
      </c>
      <c r="C120" s="17" t="n">
        <v>2020</v>
      </c>
      <c r="D120" s="10" t="s">
        <v>291</v>
      </c>
      <c r="E120" s="63" t="n">
        <v>348</v>
      </c>
      <c r="F120" s="10" t="s">
        <v>329</v>
      </c>
      <c r="G120" s="10" t="s">
        <v>288</v>
      </c>
      <c r="H120" s="64" t="s">
        <v>292</v>
      </c>
      <c r="I120" s="10" t="s">
        <v>293</v>
      </c>
    </row>
    <row r="121" customFormat="false" ht="15" hidden="false" customHeight="false" outlineLevel="0" collapsed="false">
      <c r="B121" s="10" t="s">
        <v>104</v>
      </c>
      <c r="C121" s="17" t="n">
        <v>2021</v>
      </c>
      <c r="D121" s="10" t="s">
        <v>294</v>
      </c>
      <c r="E121" s="63" t="n">
        <v>934</v>
      </c>
      <c r="F121" s="10" t="s">
        <v>329</v>
      </c>
      <c r="G121" s="10" t="s">
        <v>288</v>
      </c>
      <c r="H121" s="64" t="s">
        <v>295</v>
      </c>
      <c r="I121" s="10" t="s">
        <v>296</v>
      </c>
    </row>
    <row r="122" customFormat="false" ht="15" hidden="false" customHeight="false" outlineLevel="0" collapsed="false">
      <c r="B122" s="10" t="s">
        <v>104</v>
      </c>
      <c r="C122" s="17" t="n">
        <v>2022</v>
      </c>
      <c r="D122" s="10" t="s">
        <v>297</v>
      </c>
      <c r="E122" s="63" t="n">
        <v>605</v>
      </c>
      <c r="F122" s="10" t="s">
        <v>329</v>
      </c>
      <c r="G122" s="10" t="s">
        <v>288</v>
      </c>
      <c r="H122" s="64" t="s">
        <v>298</v>
      </c>
      <c r="I122" s="10" t="s">
        <v>299</v>
      </c>
    </row>
    <row r="123" customFormat="false" ht="15" hidden="false" customHeight="false" outlineLevel="0" collapsed="false">
      <c r="B123" s="10" t="s">
        <v>104</v>
      </c>
      <c r="C123" s="17" t="n">
        <v>2023</v>
      </c>
      <c r="D123" s="10" t="s">
        <v>300</v>
      </c>
      <c r="E123" s="63" t="n">
        <v>1131</v>
      </c>
      <c r="F123" s="10" t="s">
        <v>329</v>
      </c>
      <c r="G123" s="10" t="s">
        <v>288</v>
      </c>
      <c r="H123" s="64" t="s">
        <v>301</v>
      </c>
      <c r="I123" s="10" t="s">
        <v>302</v>
      </c>
    </row>
    <row r="124" customFormat="false" ht="15" hidden="false" customHeight="false" outlineLevel="0" collapsed="false">
      <c r="B124" s="10" t="s">
        <v>104</v>
      </c>
      <c r="C124" s="17" t="n">
        <v>2024</v>
      </c>
      <c r="D124" s="10" t="s">
        <v>303</v>
      </c>
      <c r="E124" s="63" t="n">
        <v>1000</v>
      </c>
      <c r="F124" s="10" t="s">
        <v>329</v>
      </c>
      <c r="G124" s="10" t="s">
        <v>288</v>
      </c>
      <c r="H124" s="64" t="s">
        <v>304</v>
      </c>
      <c r="I124" s="10" t="s">
        <v>305</v>
      </c>
    </row>
    <row r="125" customFormat="false" ht="15" hidden="false" customHeight="false" outlineLevel="0" collapsed="false">
      <c r="B125" s="10" t="s">
        <v>104</v>
      </c>
      <c r="C125" s="17" t="n">
        <v>2025</v>
      </c>
      <c r="D125" s="10" t="s">
        <v>306</v>
      </c>
      <c r="E125" s="63" t="n">
        <v>666</v>
      </c>
      <c r="F125" s="10" t="s">
        <v>329</v>
      </c>
      <c r="G125" s="10" t="s">
        <v>288</v>
      </c>
      <c r="H125" s="64" t="s">
        <v>304</v>
      </c>
      <c r="I125" s="10" t="s">
        <v>305</v>
      </c>
    </row>
    <row r="126" customFormat="false" ht="15" hidden="false" customHeight="false" outlineLevel="0" collapsed="false">
      <c r="B126" s="10" t="s">
        <v>104</v>
      </c>
      <c r="C126" s="17" t="n">
        <v>2026</v>
      </c>
      <c r="D126" s="10" t="s">
        <v>307</v>
      </c>
      <c r="E126" s="63" t="n">
        <v>792</v>
      </c>
      <c r="F126" s="10" t="s">
        <v>329</v>
      </c>
      <c r="G126" s="10" t="s">
        <v>288</v>
      </c>
      <c r="H126" s="64" t="s">
        <v>304</v>
      </c>
      <c r="I126" s="10" t="s">
        <v>305</v>
      </c>
    </row>
    <row r="127" customFormat="false" ht="15" hidden="false" customHeight="false" outlineLevel="0" collapsed="false">
      <c r="B127" s="10" t="s">
        <v>102</v>
      </c>
      <c r="C127" s="17" t="n">
        <v>2019</v>
      </c>
      <c r="D127" s="10" t="s">
        <v>286</v>
      </c>
      <c r="E127" s="63" t="n">
        <v>153</v>
      </c>
      <c r="F127" s="10" t="s">
        <v>330</v>
      </c>
      <c r="G127" s="10" t="s">
        <v>288</v>
      </c>
      <c r="H127" s="64" t="s">
        <v>289</v>
      </c>
      <c r="I127" s="10" t="s">
        <v>290</v>
      </c>
    </row>
    <row r="128" customFormat="false" ht="15" hidden="false" customHeight="false" outlineLevel="0" collapsed="false">
      <c r="B128" s="10" t="s">
        <v>102</v>
      </c>
      <c r="C128" s="17" t="n">
        <v>2020</v>
      </c>
      <c r="D128" s="10" t="s">
        <v>291</v>
      </c>
      <c r="E128" s="63" t="n">
        <v>140</v>
      </c>
      <c r="F128" s="10" t="s">
        <v>330</v>
      </c>
      <c r="G128" s="10" t="s">
        <v>288</v>
      </c>
      <c r="H128" s="64" t="s">
        <v>292</v>
      </c>
      <c r="I128" s="10" t="s">
        <v>293</v>
      </c>
    </row>
    <row r="129" customFormat="false" ht="15" hidden="false" customHeight="false" outlineLevel="0" collapsed="false">
      <c r="B129" s="10" t="s">
        <v>102</v>
      </c>
      <c r="C129" s="17" t="n">
        <v>2021</v>
      </c>
      <c r="D129" s="10" t="s">
        <v>294</v>
      </c>
      <c r="E129" s="63" t="n">
        <v>293</v>
      </c>
      <c r="F129" s="10" t="s">
        <v>330</v>
      </c>
      <c r="G129" s="10" t="s">
        <v>288</v>
      </c>
      <c r="H129" s="64" t="s">
        <v>295</v>
      </c>
      <c r="I129" s="10" t="s">
        <v>296</v>
      </c>
    </row>
    <row r="130" customFormat="false" ht="15" hidden="false" customHeight="false" outlineLevel="0" collapsed="false">
      <c r="B130" s="10" t="s">
        <v>102</v>
      </c>
      <c r="C130" s="17" t="n">
        <v>2022</v>
      </c>
      <c r="D130" s="10" t="s">
        <v>297</v>
      </c>
      <c r="E130" s="63" t="n">
        <v>290</v>
      </c>
      <c r="F130" s="10" t="s">
        <v>330</v>
      </c>
      <c r="G130" s="10" t="s">
        <v>288</v>
      </c>
      <c r="H130" s="64" t="s">
        <v>298</v>
      </c>
      <c r="I130" s="10" t="s">
        <v>299</v>
      </c>
    </row>
    <row r="131" customFormat="false" ht="15" hidden="false" customHeight="false" outlineLevel="0" collapsed="false">
      <c r="B131" s="10" t="s">
        <v>102</v>
      </c>
      <c r="C131" s="17" t="n">
        <v>2023</v>
      </c>
      <c r="D131" s="10" t="s">
        <v>300</v>
      </c>
      <c r="E131" s="63" t="n">
        <v>347</v>
      </c>
      <c r="F131" s="10" t="s">
        <v>330</v>
      </c>
      <c r="G131" s="10" t="s">
        <v>288</v>
      </c>
      <c r="H131" s="64" t="s">
        <v>301</v>
      </c>
      <c r="I131" s="10" t="s">
        <v>302</v>
      </c>
    </row>
    <row r="132" customFormat="false" ht="15" hidden="false" customHeight="false" outlineLevel="0" collapsed="false">
      <c r="B132" s="10" t="s">
        <v>102</v>
      </c>
      <c r="C132" s="17" t="n">
        <v>2024</v>
      </c>
      <c r="D132" s="10" t="s">
        <v>303</v>
      </c>
      <c r="E132" s="63" t="n">
        <v>381</v>
      </c>
      <c r="F132" s="10" t="s">
        <v>330</v>
      </c>
      <c r="G132" s="10" t="s">
        <v>288</v>
      </c>
      <c r="H132" s="64" t="s">
        <v>304</v>
      </c>
      <c r="I132" s="10" t="s">
        <v>305</v>
      </c>
    </row>
    <row r="133" customFormat="false" ht="15" hidden="false" customHeight="false" outlineLevel="0" collapsed="false">
      <c r="B133" s="10" t="s">
        <v>102</v>
      </c>
      <c r="C133" s="17" t="n">
        <v>2025</v>
      </c>
      <c r="D133" s="10" t="s">
        <v>306</v>
      </c>
      <c r="E133" s="63" t="n">
        <v>389</v>
      </c>
      <c r="F133" s="10" t="s">
        <v>330</v>
      </c>
      <c r="G133" s="10" t="s">
        <v>288</v>
      </c>
      <c r="H133" s="64" t="s">
        <v>304</v>
      </c>
      <c r="I133" s="10" t="s">
        <v>305</v>
      </c>
    </row>
    <row r="134" customFormat="false" ht="15" hidden="false" customHeight="false" outlineLevel="0" collapsed="false">
      <c r="B134" s="10" t="s">
        <v>102</v>
      </c>
      <c r="C134" s="17" t="n">
        <v>2026</v>
      </c>
      <c r="D134" s="10" t="s">
        <v>307</v>
      </c>
      <c r="E134" s="63" t="n">
        <v>323</v>
      </c>
      <c r="F134" s="10" t="s">
        <v>330</v>
      </c>
      <c r="G134" s="10" t="s">
        <v>288</v>
      </c>
      <c r="H134" s="64" t="s">
        <v>304</v>
      </c>
      <c r="I134" s="10" t="s">
        <v>305</v>
      </c>
    </row>
    <row r="135" customFormat="false" ht="15" hidden="false" customHeight="false" outlineLevel="0" collapsed="false">
      <c r="B135" s="10" t="s">
        <v>113</v>
      </c>
      <c r="C135" s="17" t="n">
        <v>2019</v>
      </c>
      <c r="D135" s="10" t="s">
        <v>286</v>
      </c>
      <c r="E135" s="63" t="n">
        <v>5622</v>
      </c>
      <c r="F135" s="10" t="s">
        <v>331</v>
      </c>
      <c r="G135" s="10" t="s">
        <v>288</v>
      </c>
      <c r="H135" s="64" t="s">
        <v>310</v>
      </c>
      <c r="I135" s="10" t="s">
        <v>311</v>
      </c>
    </row>
    <row r="136" customFormat="false" ht="15" hidden="false" customHeight="false" outlineLevel="0" collapsed="false">
      <c r="B136" s="10" t="s">
        <v>113</v>
      </c>
      <c r="C136" s="17" t="n">
        <v>2020</v>
      </c>
      <c r="D136" s="10" t="s">
        <v>291</v>
      </c>
      <c r="E136" s="63" t="n">
        <v>7367</v>
      </c>
      <c r="F136" s="10" t="s">
        <v>331</v>
      </c>
      <c r="G136" s="10" t="s">
        <v>288</v>
      </c>
      <c r="H136" s="64" t="s">
        <v>289</v>
      </c>
      <c r="I136" s="10" t="s">
        <v>290</v>
      </c>
    </row>
    <row r="137" customFormat="false" ht="15" hidden="false" customHeight="false" outlineLevel="0" collapsed="false">
      <c r="B137" s="10" t="s">
        <v>113</v>
      </c>
      <c r="C137" s="17" t="n">
        <v>2021</v>
      </c>
      <c r="D137" s="10" t="s">
        <v>294</v>
      </c>
      <c r="E137" s="63" t="n">
        <v>6854</v>
      </c>
      <c r="F137" s="10" t="s">
        <v>331</v>
      </c>
      <c r="G137" s="10" t="s">
        <v>288</v>
      </c>
      <c r="H137" s="64" t="s">
        <v>292</v>
      </c>
      <c r="I137" s="10" t="s">
        <v>293</v>
      </c>
    </row>
    <row r="138" customFormat="false" ht="15" hidden="false" customHeight="false" outlineLevel="0" collapsed="false">
      <c r="B138" s="10" t="s">
        <v>113</v>
      </c>
      <c r="C138" s="17" t="n">
        <v>2022</v>
      </c>
      <c r="D138" s="10" t="s">
        <v>297</v>
      </c>
      <c r="E138" s="63" t="n">
        <v>8420</v>
      </c>
      <c r="F138" s="10" t="s">
        <v>331</v>
      </c>
      <c r="G138" s="10" t="s">
        <v>288</v>
      </c>
      <c r="H138" s="64" t="s">
        <v>295</v>
      </c>
      <c r="I138" s="10" t="s">
        <v>296</v>
      </c>
    </row>
    <row r="139" customFormat="false" ht="15" hidden="false" customHeight="false" outlineLevel="0" collapsed="false">
      <c r="B139" s="10" t="s">
        <v>113</v>
      </c>
      <c r="C139" s="17" t="n">
        <v>2023</v>
      </c>
      <c r="D139" s="10" t="s">
        <v>300</v>
      </c>
      <c r="E139" s="63" t="n">
        <v>8454</v>
      </c>
      <c r="F139" s="10" t="s">
        <v>331</v>
      </c>
      <c r="G139" s="10" t="s">
        <v>288</v>
      </c>
      <c r="H139" s="64" t="s">
        <v>301</v>
      </c>
      <c r="I139" s="10" t="s">
        <v>302</v>
      </c>
    </row>
    <row r="140" customFormat="false" ht="15" hidden="false" customHeight="false" outlineLevel="0" collapsed="false">
      <c r="B140" s="10" t="s">
        <v>113</v>
      </c>
      <c r="C140" s="17" t="n">
        <v>2024</v>
      </c>
      <c r="D140" s="10" t="s">
        <v>303</v>
      </c>
      <c r="E140" s="63" t="n">
        <v>7519</v>
      </c>
      <c r="F140" s="10" t="s">
        <v>331</v>
      </c>
      <c r="G140" s="10" t="s">
        <v>288</v>
      </c>
      <c r="H140" s="64" t="s">
        <v>304</v>
      </c>
      <c r="I140" s="10" t="s">
        <v>305</v>
      </c>
    </row>
    <row r="141" customFormat="false" ht="15" hidden="false" customHeight="false" outlineLevel="0" collapsed="false">
      <c r="B141" s="10" t="s">
        <v>113</v>
      </c>
      <c r="C141" s="17" t="n">
        <v>2025</v>
      </c>
      <c r="D141" s="10" t="s">
        <v>306</v>
      </c>
      <c r="E141" s="63" t="n">
        <v>7489</v>
      </c>
      <c r="F141" s="10" t="s">
        <v>331</v>
      </c>
      <c r="G141" s="10" t="s">
        <v>288</v>
      </c>
      <c r="H141" s="64" t="s">
        <v>304</v>
      </c>
      <c r="I141" s="10" t="s">
        <v>305</v>
      </c>
    </row>
    <row r="142" customFormat="false" ht="15" hidden="false" customHeight="false" outlineLevel="0" collapsed="false">
      <c r="B142" s="10" t="s">
        <v>113</v>
      </c>
      <c r="C142" s="17" t="n">
        <v>2026</v>
      </c>
      <c r="D142" s="10" t="s">
        <v>307</v>
      </c>
      <c r="E142" s="63" t="n">
        <v>7501</v>
      </c>
      <c r="F142" s="10" t="s">
        <v>331</v>
      </c>
      <c r="G142" s="10" t="s">
        <v>288</v>
      </c>
      <c r="H142" s="64" t="s">
        <v>304</v>
      </c>
      <c r="I142" s="10" t="s">
        <v>305</v>
      </c>
    </row>
    <row r="143" customFormat="false" ht="15" hidden="false" customHeight="false" outlineLevel="0" collapsed="false">
      <c r="B143" s="10" t="s">
        <v>332</v>
      </c>
      <c r="C143" s="17" t="n">
        <v>2019</v>
      </c>
      <c r="D143" s="10" t="s">
        <v>286</v>
      </c>
      <c r="E143" s="63" t="n">
        <v>6</v>
      </c>
      <c r="F143" s="10" t="s">
        <v>333</v>
      </c>
      <c r="G143" s="10" t="s">
        <v>288</v>
      </c>
      <c r="H143" s="64" t="s">
        <v>310</v>
      </c>
      <c r="I143" s="10" t="s">
        <v>311</v>
      </c>
    </row>
    <row r="144" customFormat="false" ht="15" hidden="false" customHeight="false" outlineLevel="0" collapsed="false">
      <c r="B144" s="10" t="s">
        <v>332</v>
      </c>
      <c r="C144" s="17" t="n">
        <v>2020</v>
      </c>
      <c r="D144" s="10" t="s">
        <v>291</v>
      </c>
      <c r="E144" s="63" t="n">
        <v>3</v>
      </c>
      <c r="F144" s="10" t="s">
        <v>333</v>
      </c>
      <c r="G144" s="10" t="s">
        <v>288</v>
      </c>
      <c r="H144" s="64" t="s">
        <v>289</v>
      </c>
      <c r="I144" s="10" t="s">
        <v>290</v>
      </c>
    </row>
    <row r="145" customFormat="false" ht="15" hidden="false" customHeight="false" outlineLevel="0" collapsed="false">
      <c r="B145" s="10" t="s">
        <v>332</v>
      </c>
      <c r="C145" s="17" t="n">
        <v>2021</v>
      </c>
      <c r="D145" s="10" t="s">
        <v>294</v>
      </c>
      <c r="E145" s="63" t="n">
        <v>0</v>
      </c>
      <c r="F145" s="10" t="s">
        <v>333</v>
      </c>
      <c r="G145" s="10" t="s">
        <v>288</v>
      </c>
      <c r="H145" s="64" t="s">
        <v>292</v>
      </c>
      <c r="I145" s="10" t="s">
        <v>293</v>
      </c>
    </row>
    <row r="146" customFormat="false" ht="15" hidden="false" customHeight="false" outlineLevel="0" collapsed="false">
      <c r="B146" s="10" t="s">
        <v>332</v>
      </c>
      <c r="C146" s="17" t="n">
        <v>2022</v>
      </c>
      <c r="D146" s="10" t="s">
        <v>297</v>
      </c>
      <c r="E146" s="63" t="n">
        <v>500</v>
      </c>
      <c r="F146" s="10" t="s">
        <v>333</v>
      </c>
      <c r="G146" s="10" t="s">
        <v>288</v>
      </c>
      <c r="H146" s="64" t="s">
        <v>295</v>
      </c>
      <c r="I146" s="10" t="s">
        <v>296</v>
      </c>
    </row>
    <row r="147" customFormat="false" ht="15" hidden="false" customHeight="false" outlineLevel="0" collapsed="false">
      <c r="B147" s="10" t="s">
        <v>332</v>
      </c>
      <c r="C147" s="17" t="n">
        <v>2023</v>
      </c>
      <c r="D147" s="10" t="s">
        <v>300</v>
      </c>
      <c r="E147" s="63" t="n">
        <v>0</v>
      </c>
      <c r="F147" s="10" t="s">
        <v>333</v>
      </c>
      <c r="G147" s="10" t="s">
        <v>288</v>
      </c>
      <c r="H147" s="64" t="s">
        <v>298</v>
      </c>
      <c r="I147" s="10" t="s">
        <v>299</v>
      </c>
    </row>
    <row r="148" customFormat="false" ht="15" hidden="false" customHeight="false" outlineLevel="0" collapsed="false">
      <c r="B148" s="10" t="s">
        <v>332</v>
      </c>
      <c r="C148" s="17" t="n">
        <v>2024</v>
      </c>
      <c r="D148" s="10" t="s">
        <v>303</v>
      </c>
      <c r="E148" s="63" t="n">
        <v>1000</v>
      </c>
      <c r="F148" s="10" t="s">
        <v>333</v>
      </c>
      <c r="G148" s="10" t="s">
        <v>288</v>
      </c>
      <c r="H148" s="64" t="s">
        <v>301</v>
      </c>
      <c r="I148" s="10" t="s">
        <v>302</v>
      </c>
    </row>
    <row r="149" customFormat="false" ht="15" hidden="false" customHeight="false" outlineLevel="0" collapsed="false">
      <c r="B149" s="10" t="s">
        <v>332</v>
      </c>
      <c r="C149" s="17" t="n">
        <v>2025</v>
      </c>
      <c r="D149" s="10" t="s">
        <v>306</v>
      </c>
      <c r="E149" s="63" t="n">
        <v>0</v>
      </c>
      <c r="F149" s="10" t="s">
        <v>333</v>
      </c>
      <c r="G149" s="10" t="s">
        <v>288</v>
      </c>
      <c r="H149" s="64" t="s">
        <v>304</v>
      </c>
      <c r="I149" s="10" t="s">
        <v>305</v>
      </c>
    </row>
    <row r="150" customFormat="false" ht="15" hidden="false" customHeight="false" outlineLevel="0" collapsed="false">
      <c r="B150" s="10" t="s">
        <v>332</v>
      </c>
      <c r="C150" s="17" t="n">
        <v>2026</v>
      </c>
      <c r="D150" s="10" t="s">
        <v>307</v>
      </c>
      <c r="E150" s="63" t="n">
        <v>2000</v>
      </c>
      <c r="F150" s="10" t="s">
        <v>333</v>
      </c>
      <c r="G150" s="10" t="s">
        <v>288</v>
      </c>
      <c r="H150" s="64" t="s">
        <v>304</v>
      </c>
      <c r="I150" s="10" t="s">
        <v>305</v>
      </c>
    </row>
    <row r="151" customFormat="false" ht="15" hidden="false" customHeight="false" outlineLevel="0" collapsed="false">
      <c r="B151" s="10" t="s">
        <v>334</v>
      </c>
      <c r="C151" s="17" t="n">
        <v>2019</v>
      </c>
      <c r="D151" s="10" t="s">
        <v>286</v>
      </c>
      <c r="E151" s="63" t="n">
        <v>3464</v>
      </c>
      <c r="F151" s="10" t="s">
        <v>335</v>
      </c>
      <c r="G151" s="10" t="s">
        <v>288</v>
      </c>
      <c r="H151" s="64" t="s">
        <v>310</v>
      </c>
      <c r="I151" s="10" t="s">
        <v>311</v>
      </c>
    </row>
    <row r="152" customFormat="false" ht="15" hidden="false" customHeight="false" outlineLevel="0" collapsed="false">
      <c r="B152" s="10" t="s">
        <v>334</v>
      </c>
      <c r="C152" s="17" t="n">
        <v>2020</v>
      </c>
      <c r="D152" s="10" t="s">
        <v>291</v>
      </c>
      <c r="E152" s="63" t="n">
        <v>9406</v>
      </c>
      <c r="F152" s="10" t="s">
        <v>335</v>
      </c>
      <c r="G152" s="10" t="s">
        <v>288</v>
      </c>
      <c r="H152" s="64" t="s">
        <v>289</v>
      </c>
      <c r="I152" s="10" t="s">
        <v>290</v>
      </c>
    </row>
    <row r="153" customFormat="false" ht="15" hidden="false" customHeight="false" outlineLevel="0" collapsed="false">
      <c r="B153" s="10" t="s">
        <v>334</v>
      </c>
      <c r="C153" s="17" t="n">
        <v>2021</v>
      </c>
      <c r="D153" s="10" t="s">
        <v>294</v>
      </c>
      <c r="E153" s="63" t="n">
        <v>9413</v>
      </c>
      <c r="F153" s="10" t="s">
        <v>335</v>
      </c>
      <c r="G153" s="10" t="s">
        <v>288</v>
      </c>
      <c r="H153" s="64" t="s">
        <v>292</v>
      </c>
      <c r="I153" s="10" t="s">
        <v>293</v>
      </c>
    </row>
    <row r="154" customFormat="false" ht="15" hidden="false" customHeight="false" outlineLevel="0" collapsed="false">
      <c r="B154" s="10" t="s">
        <v>334</v>
      </c>
      <c r="C154" s="17" t="n">
        <v>2022</v>
      </c>
      <c r="D154" s="10" t="s">
        <v>297</v>
      </c>
      <c r="E154" s="63" t="n">
        <v>8920</v>
      </c>
      <c r="F154" s="10" t="s">
        <v>335</v>
      </c>
      <c r="G154" s="10" t="s">
        <v>288</v>
      </c>
      <c r="H154" s="64" t="s">
        <v>295</v>
      </c>
      <c r="I154" s="10" t="s">
        <v>296</v>
      </c>
    </row>
    <row r="155" customFormat="false" ht="15" hidden="false" customHeight="false" outlineLevel="0" collapsed="false">
      <c r="B155" s="10" t="s">
        <v>334</v>
      </c>
      <c r="C155" s="17" t="n">
        <v>2023</v>
      </c>
      <c r="D155" s="10" t="s">
        <v>300</v>
      </c>
      <c r="E155" s="63" t="n">
        <v>8927</v>
      </c>
      <c r="F155" s="10" t="s">
        <v>335</v>
      </c>
      <c r="G155" s="10" t="s">
        <v>288</v>
      </c>
      <c r="H155" s="64" t="s">
        <v>298</v>
      </c>
      <c r="I155" s="10" t="s">
        <v>299</v>
      </c>
    </row>
    <row r="156" customFormat="false" ht="15" hidden="false" customHeight="false" outlineLevel="0" collapsed="false">
      <c r="B156" s="10" t="s">
        <v>334</v>
      </c>
      <c r="C156" s="17" t="n">
        <v>2024</v>
      </c>
      <c r="D156" s="10" t="s">
        <v>303</v>
      </c>
      <c r="E156" s="63" t="n">
        <v>7903</v>
      </c>
      <c r="F156" s="10" t="s">
        <v>335</v>
      </c>
      <c r="G156" s="10" t="s">
        <v>288</v>
      </c>
      <c r="H156" s="64" t="s">
        <v>301</v>
      </c>
      <c r="I156" s="10" t="s">
        <v>302</v>
      </c>
    </row>
    <row r="157" customFormat="false" ht="15" hidden="false" customHeight="false" outlineLevel="0" collapsed="false">
      <c r="B157" s="10" t="s">
        <v>334</v>
      </c>
      <c r="C157" s="17" t="n">
        <v>2025</v>
      </c>
      <c r="D157" s="10" t="s">
        <v>306</v>
      </c>
      <c r="E157" s="63" t="n">
        <v>7961</v>
      </c>
      <c r="F157" s="10" t="s">
        <v>335</v>
      </c>
      <c r="G157" s="10" t="s">
        <v>288</v>
      </c>
      <c r="H157" s="64" t="s">
        <v>304</v>
      </c>
      <c r="I157" s="10" t="s">
        <v>305</v>
      </c>
    </row>
    <row r="158" customFormat="false" ht="15" hidden="false" customHeight="false" outlineLevel="0" collapsed="false">
      <c r="B158" s="10" t="s">
        <v>334</v>
      </c>
      <c r="C158" s="17" t="n">
        <v>2026</v>
      </c>
      <c r="D158" s="10" t="s">
        <v>307</v>
      </c>
      <c r="E158" s="63" t="n">
        <v>5942</v>
      </c>
      <c r="F158" s="10" t="s">
        <v>335</v>
      </c>
      <c r="G158" s="10" t="s">
        <v>288</v>
      </c>
      <c r="H158" s="64" t="s">
        <v>304</v>
      </c>
      <c r="I158" s="10" t="s">
        <v>305</v>
      </c>
    </row>
    <row r="159" customFormat="false" ht="15" hidden="false" customHeight="false" outlineLevel="0" collapsed="false">
      <c r="B159" s="10" t="s">
        <v>336</v>
      </c>
      <c r="C159" s="17" t="n">
        <v>2019</v>
      </c>
      <c r="D159" s="10" t="s">
        <v>286</v>
      </c>
      <c r="E159" s="63" t="n">
        <v>3470</v>
      </c>
      <c r="F159" s="10" t="s">
        <v>337</v>
      </c>
      <c r="G159" s="10" t="s">
        <v>288</v>
      </c>
      <c r="H159" s="64" t="s">
        <v>310</v>
      </c>
      <c r="I159" s="10" t="s">
        <v>311</v>
      </c>
    </row>
    <row r="160" customFormat="false" ht="15" hidden="false" customHeight="false" outlineLevel="0" collapsed="false">
      <c r="B160" s="10" t="s">
        <v>336</v>
      </c>
      <c r="C160" s="17" t="n">
        <v>2020</v>
      </c>
      <c r="D160" s="10" t="s">
        <v>291</v>
      </c>
      <c r="E160" s="63" t="n">
        <v>9409</v>
      </c>
      <c r="F160" s="10" t="s">
        <v>337</v>
      </c>
      <c r="G160" s="10" t="s">
        <v>288</v>
      </c>
      <c r="H160" s="64" t="s">
        <v>289</v>
      </c>
      <c r="I160" s="10" t="s">
        <v>290</v>
      </c>
    </row>
    <row r="161" customFormat="false" ht="15" hidden="false" customHeight="false" outlineLevel="0" collapsed="false">
      <c r="B161" s="10" t="s">
        <v>336</v>
      </c>
      <c r="C161" s="17" t="n">
        <v>2021</v>
      </c>
      <c r="D161" s="10" t="s">
        <v>294</v>
      </c>
      <c r="E161" s="63" t="n">
        <v>9413</v>
      </c>
      <c r="F161" s="10" t="s">
        <v>337</v>
      </c>
      <c r="G161" s="10" t="s">
        <v>288</v>
      </c>
      <c r="H161" s="64" t="s">
        <v>292</v>
      </c>
      <c r="I161" s="10" t="s">
        <v>293</v>
      </c>
    </row>
    <row r="162" customFormat="false" ht="15" hidden="false" customHeight="false" outlineLevel="0" collapsed="false">
      <c r="B162" s="10" t="s">
        <v>336</v>
      </c>
      <c r="C162" s="17" t="n">
        <v>2022</v>
      </c>
      <c r="D162" s="10" t="s">
        <v>297</v>
      </c>
      <c r="E162" s="63" t="n">
        <v>9420</v>
      </c>
      <c r="F162" s="10" t="s">
        <v>337</v>
      </c>
      <c r="G162" s="10" t="s">
        <v>288</v>
      </c>
      <c r="H162" s="64" t="s">
        <v>295</v>
      </c>
      <c r="I162" s="10" t="s">
        <v>296</v>
      </c>
    </row>
    <row r="163" customFormat="false" ht="15" hidden="false" customHeight="false" outlineLevel="0" collapsed="false">
      <c r="B163" s="10" t="s">
        <v>336</v>
      </c>
      <c r="C163" s="17" t="n">
        <v>2023</v>
      </c>
      <c r="D163" s="10" t="s">
        <v>300</v>
      </c>
      <c r="E163" s="63" t="n">
        <v>8927</v>
      </c>
      <c r="F163" s="10" t="s">
        <v>337</v>
      </c>
      <c r="G163" s="10" t="s">
        <v>288</v>
      </c>
      <c r="H163" s="64" t="s">
        <v>298</v>
      </c>
      <c r="I163" s="10" t="s">
        <v>299</v>
      </c>
    </row>
    <row r="164" customFormat="false" ht="15" hidden="false" customHeight="false" outlineLevel="0" collapsed="false">
      <c r="B164" s="10" t="s">
        <v>336</v>
      </c>
      <c r="C164" s="17" t="n">
        <v>2024</v>
      </c>
      <c r="D164" s="10" t="s">
        <v>303</v>
      </c>
      <c r="E164" s="63" t="n">
        <v>8903</v>
      </c>
      <c r="F164" s="10" t="s">
        <v>337</v>
      </c>
      <c r="G164" s="10" t="s">
        <v>288</v>
      </c>
      <c r="H164" s="64" t="s">
        <v>301</v>
      </c>
      <c r="I164" s="10" t="s">
        <v>302</v>
      </c>
    </row>
    <row r="165" customFormat="false" ht="15" hidden="false" customHeight="false" outlineLevel="0" collapsed="false">
      <c r="B165" s="10" t="s">
        <v>336</v>
      </c>
      <c r="C165" s="17" t="n">
        <v>2025</v>
      </c>
      <c r="D165" s="10" t="s">
        <v>306</v>
      </c>
      <c r="E165" s="63" t="n">
        <v>7961</v>
      </c>
      <c r="F165" s="10" t="s">
        <v>337</v>
      </c>
      <c r="G165" s="10" t="s">
        <v>288</v>
      </c>
      <c r="H165" s="64" t="s">
        <v>304</v>
      </c>
      <c r="I165" s="10" t="s">
        <v>305</v>
      </c>
    </row>
    <row r="166" customFormat="false" ht="15" hidden="false" customHeight="false" outlineLevel="0" collapsed="false">
      <c r="B166" s="10" t="s">
        <v>336</v>
      </c>
      <c r="C166" s="17" t="n">
        <v>2026</v>
      </c>
      <c r="D166" s="10" t="s">
        <v>307</v>
      </c>
      <c r="E166" s="63" t="n">
        <v>7942</v>
      </c>
      <c r="F166" s="10" t="s">
        <v>337</v>
      </c>
      <c r="G166" s="10" t="s">
        <v>288</v>
      </c>
      <c r="H166" s="64" t="s">
        <v>304</v>
      </c>
      <c r="I166" s="10" t="s">
        <v>305</v>
      </c>
    </row>
    <row r="167" customFormat="false" ht="15" hidden="false" customHeight="false" outlineLevel="0" collapsed="false">
      <c r="B167" s="10" t="s">
        <v>105</v>
      </c>
      <c r="C167" s="17" t="n">
        <v>2019</v>
      </c>
      <c r="D167" s="10" t="s">
        <v>286</v>
      </c>
      <c r="E167" s="63" t="n">
        <v>4029</v>
      </c>
      <c r="F167" s="10" t="s">
        <v>338</v>
      </c>
      <c r="G167" s="10" t="s">
        <v>288</v>
      </c>
      <c r="H167" s="64" t="s">
        <v>289</v>
      </c>
      <c r="I167" s="10" t="s">
        <v>290</v>
      </c>
    </row>
    <row r="168" customFormat="false" ht="15" hidden="false" customHeight="false" outlineLevel="0" collapsed="false">
      <c r="B168" s="10" t="s">
        <v>105</v>
      </c>
      <c r="C168" s="17" t="n">
        <v>2020</v>
      </c>
      <c r="D168" s="10" t="s">
        <v>291</v>
      </c>
      <c r="E168" s="63" t="n">
        <v>2539</v>
      </c>
      <c r="F168" s="10" t="s">
        <v>338</v>
      </c>
      <c r="G168" s="10" t="s">
        <v>288</v>
      </c>
      <c r="H168" s="64" t="s">
        <v>292</v>
      </c>
      <c r="I168" s="10" t="s">
        <v>293</v>
      </c>
    </row>
    <row r="169" customFormat="false" ht="15" hidden="false" customHeight="false" outlineLevel="0" collapsed="false">
      <c r="B169" s="10" t="s">
        <v>105</v>
      </c>
      <c r="C169" s="17" t="n">
        <v>2021</v>
      </c>
      <c r="D169" s="10" t="s">
        <v>294</v>
      </c>
      <c r="E169" s="63" t="n">
        <v>5727</v>
      </c>
      <c r="F169" s="10" t="s">
        <v>338</v>
      </c>
      <c r="G169" s="10" t="s">
        <v>288</v>
      </c>
      <c r="H169" s="64" t="s">
        <v>295</v>
      </c>
      <c r="I169" s="10" t="s">
        <v>296</v>
      </c>
    </row>
    <row r="170" customFormat="false" ht="15" hidden="false" customHeight="false" outlineLevel="0" collapsed="false">
      <c r="B170" s="10" t="s">
        <v>105</v>
      </c>
      <c r="C170" s="17" t="n">
        <v>2022</v>
      </c>
      <c r="D170" s="10" t="s">
        <v>297</v>
      </c>
      <c r="E170" s="63" t="n">
        <v>6046</v>
      </c>
      <c r="F170" s="10" t="s">
        <v>338</v>
      </c>
      <c r="G170" s="10" t="s">
        <v>288</v>
      </c>
      <c r="H170" s="64" t="s">
        <v>298</v>
      </c>
      <c r="I170" s="10" t="s">
        <v>299</v>
      </c>
    </row>
    <row r="171" customFormat="false" ht="15" hidden="false" customHeight="false" outlineLevel="0" collapsed="false">
      <c r="B171" s="10" t="s">
        <v>105</v>
      </c>
      <c r="C171" s="17" t="n">
        <v>2023</v>
      </c>
      <c r="D171" s="10" t="s">
        <v>300</v>
      </c>
      <c r="E171" s="63" t="n">
        <v>5070</v>
      </c>
      <c r="F171" s="10" t="s">
        <v>338</v>
      </c>
      <c r="G171" s="10" t="s">
        <v>288</v>
      </c>
      <c r="H171" s="64" t="s">
        <v>301</v>
      </c>
      <c r="I171" s="10" t="s">
        <v>302</v>
      </c>
    </row>
    <row r="172" customFormat="false" ht="15" hidden="false" customHeight="false" outlineLevel="0" collapsed="false">
      <c r="B172" s="10" t="s">
        <v>105</v>
      </c>
      <c r="C172" s="17" t="n">
        <v>2024</v>
      </c>
      <c r="D172" s="10" t="s">
        <v>303</v>
      </c>
      <c r="E172" s="63" t="n">
        <v>5700</v>
      </c>
      <c r="F172" s="10" t="s">
        <v>338</v>
      </c>
      <c r="G172" s="10" t="s">
        <v>288</v>
      </c>
      <c r="H172" s="64" t="s">
        <v>304</v>
      </c>
      <c r="I172" s="10" t="s">
        <v>305</v>
      </c>
    </row>
    <row r="173" customFormat="false" ht="15" hidden="false" customHeight="false" outlineLevel="0" collapsed="false">
      <c r="B173" s="10" t="s">
        <v>105</v>
      </c>
      <c r="C173" s="17" t="n">
        <v>2025</v>
      </c>
      <c r="D173" s="10" t="s">
        <v>306</v>
      </c>
      <c r="E173" s="63" t="n">
        <v>3219</v>
      </c>
      <c r="F173" s="10" t="s">
        <v>338</v>
      </c>
      <c r="G173" s="10" t="s">
        <v>288</v>
      </c>
      <c r="H173" s="64" t="s">
        <v>304</v>
      </c>
      <c r="I173" s="10" t="s">
        <v>305</v>
      </c>
    </row>
    <row r="174" customFormat="false" ht="15" hidden="false" customHeight="false" outlineLevel="0" collapsed="false">
      <c r="B174" s="10" t="s">
        <v>105</v>
      </c>
      <c r="C174" s="17" t="n">
        <v>2026</v>
      </c>
      <c r="D174" s="10" t="s">
        <v>307</v>
      </c>
      <c r="E174" s="63" t="n">
        <v>3108</v>
      </c>
      <c r="F174" s="10" t="s">
        <v>338</v>
      </c>
      <c r="G174" s="10" t="s">
        <v>288</v>
      </c>
      <c r="H174" s="64" t="s">
        <v>304</v>
      </c>
      <c r="I174" s="10" t="s">
        <v>305</v>
      </c>
    </row>
    <row r="175" customFormat="false" ht="15" hidden="false" customHeight="false" outlineLevel="0" collapsed="false">
      <c r="B175" s="10" t="s">
        <v>99</v>
      </c>
      <c r="C175" s="17" t="n">
        <v>2019</v>
      </c>
      <c r="D175" s="10" t="s">
        <v>339</v>
      </c>
      <c r="E175" s="63" t="n">
        <v>4772</v>
      </c>
      <c r="F175" s="10" t="s">
        <v>340</v>
      </c>
      <c r="G175" s="10"/>
      <c r="H175" s="64"/>
      <c r="I175" s="10"/>
    </row>
    <row r="176" customFormat="false" ht="15" hidden="false" customHeight="false" outlineLevel="0" collapsed="false">
      <c r="B176" s="10" t="s">
        <v>99</v>
      </c>
      <c r="C176" s="17" t="n">
        <v>2020</v>
      </c>
      <c r="D176" s="10" t="s">
        <v>339</v>
      </c>
      <c r="E176" s="63" t="n">
        <v>3115</v>
      </c>
      <c r="F176" s="10" t="s">
        <v>340</v>
      </c>
      <c r="G176" s="10"/>
      <c r="H176" s="64"/>
      <c r="I176" s="10"/>
    </row>
    <row r="177" customFormat="false" ht="15" hidden="false" customHeight="false" outlineLevel="0" collapsed="false">
      <c r="B177" s="10" t="s">
        <v>99</v>
      </c>
      <c r="C177" s="17" t="n">
        <v>2021</v>
      </c>
      <c r="D177" s="10" t="s">
        <v>339</v>
      </c>
      <c r="E177" s="63" t="n">
        <v>6937</v>
      </c>
      <c r="F177" s="10" t="s">
        <v>340</v>
      </c>
      <c r="G177" s="10"/>
      <c r="H177" s="64"/>
      <c r="I177" s="10"/>
    </row>
    <row r="178" customFormat="false" ht="15" hidden="false" customHeight="false" outlineLevel="0" collapsed="false">
      <c r="B178" s="10" t="s">
        <v>99</v>
      </c>
      <c r="C178" s="17" t="n">
        <v>2022</v>
      </c>
      <c r="D178" s="10" t="s">
        <v>339</v>
      </c>
      <c r="E178" s="63" t="n">
        <v>6675</v>
      </c>
      <c r="F178" s="10" t="s">
        <v>340</v>
      </c>
      <c r="G178" s="10"/>
      <c r="H178" s="64"/>
      <c r="I178" s="10"/>
    </row>
    <row r="179" customFormat="false" ht="15" hidden="false" customHeight="false" outlineLevel="0" collapsed="false">
      <c r="B179" s="10" t="s">
        <v>99</v>
      </c>
      <c r="C179" s="17" t="n">
        <v>2023</v>
      </c>
      <c r="D179" s="10" t="s">
        <v>339</v>
      </c>
      <c r="E179" s="63" t="n">
        <v>5915</v>
      </c>
      <c r="F179" s="10" t="s">
        <v>340</v>
      </c>
      <c r="G179" s="10"/>
      <c r="H179" s="64"/>
      <c r="I179" s="10"/>
    </row>
    <row r="180" customFormat="false" ht="15" hidden="false" customHeight="false" outlineLevel="0" collapsed="false">
      <c r="B180" s="10" t="s">
        <v>99</v>
      </c>
      <c r="C180" s="17" t="n">
        <v>2024</v>
      </c>
      <c r="D180" s="10" t="s">
        <v>339</v>
      </c>
      <c r="E180" s="63" t="n">
        <v>6311</v>
      </c>
      <c r="F180" s="10" t="s">
        <v>340</v>
      </c>
      <c r="G180" s="10"/>
      <c r="H180" s="64"/>
      <c r="I180" s="10"/>
    </row>
    <row r="181" customFormat="false" ht="15" hidden="false" customHeight="false" outlineLevel="0" collapsed="false">
      <c r="B181" s="10" t="s">
        <v>99</v>
      </c>
      <c r="C181" s="17" t="n">
        <v>2025</v>
      </c>
      <c r="D181" s="10" t="s">
        <v>339</v>
      </c>
      <c r="E181" s="63" t="n">
        <v>3702</v>
      </c>
      <c r="F181" s="10" t="s">
        <v>340</v>
      </c>
      <c r="G181" s="10"/>
      <c r="H181" s="64"/>
      <c r="I181" s="10"/>
    </row>
    <row r="182" customFormat="false" ht="15" hidden="false" customHeight="false" outlineLevel="0" collapsed="false">
      <c r="B182" s="10" t="s">
        <v>99</v>
      </c>
      <c r="C182" s="17" t="n">
        <v>2026</v>
      </c>
      <c r="D182" s="10" t="s">
        <v>339</v>
      </c>
      <c r="E182" s="63" t="n">
        <v>3797</v>
      </c>
      <c r="F182" s="10" t="s">
        <v>340</v>
      </c>
      <c r="G182" s="10"/>
      <c r="H182" s="64"/>
      <c r="I182" s="10"/>
    </row>
    <row r="183" customFormat="false" ht="15" hidden="false" customHeight="false" outlineLevel="0" collapsed="false">
      <c r="B183" s="10" t="s">
        <v>114</v>
      </c>
      <c r="C183" s="17" t="n">
        <v>2019</v>
      </c>
      <c r="D183" s="10" t="s">
        <v>286</v>
      </c>
      <c r="E183" s="63" t="n">
        <v>2612</v>
      </c>
      <c r="F183" s="10" t="s">
        <v>341</v>
      </c>
      <c r="G183" s="10" t="s">
        <v>288</v>
      </c>
      <c r="H183" s="64" t="s">
        <v>310</v>
      </c>
      <c r="I183" s="10" t="s">
        <v>311</v>
      </c>
    </row>
    <row r="184" customFormat="false" ht="15" hidden="false" customHeight="false" outlineLevel="0" collapsed="false">
      <c r="B184" s="10" t="s">
        <v>114</v>
      </c>
      <c r="C184" s="17" t="n">
        <v>2020</v>
      </c>
      <c r="D184" s="10" t="s">
        <v>291</v>
      </c>
      <c r="E184" s="63" t="n">
        <v>2248</v>
      </c>
      <c r="F184" s="10" t="s">
        <v>341</v>
      </c>
      <c r="G184" s="10" t="s">
        <v>288</v>
      </c>
      <c r="H184" s="64" t="s">
        <v>289</v>
      </c>
      <c r="I184" s="10" t="s">
        <v>290</v>
      </c>
    </row>
    <row r="185" customFormat="false" ht="15" hidden="false" customHeight="false" outlineLevel="0" collapsed="false">
      <c r="B185" s="10" t="s">
        <v>114</v>
      </c>
      <c r="C185" s="17" t="n">
        <v>2021</v>
      </c>
      <c r="D185" s="10" t="s">
        <v>294</v>
      </c>
      <c r="E185" s="63" t="n">
        <v>2836</v>
      </c>
      <c r="F185" s="10" t="s">
        <v>341</v>
      </c>
      <c r="G185" s="10" t="s">
        <v>288</v>
      </c>
      <c r="H185" s="64" t="s">
        <v>292</v>
      </c>
      <c r="I185" s="10" t="s">
        <v>293</v>
      </c>
    </row>
    <row r="186" customFormat="false" ht="15" hidden="false" customHeight="false" outlineLevel="0" collapsed="false">
      <c r="B186" s="10" t="s">
        <v>114</v>
      </c>
      <c r="C186" s="17" t="n">
        <v>2022</v>
      </c>
      <c r="D186" s="10" t="s">
        <v>297</v>
      </c>
      <c r="E186" s="63" t="n">
        <v>3358</v>
      </c>
      <c r="F186" s="10" t="s">
        <v>341</v>
      </c>
      <c r="G186" s="10" t="s">
        <v>288</v>
      </c>
      <c r="H186" s="64" t="s">
        <v>295</v>
      </c>
      <c r="I186" s="10" t="s">
        <v>296</v>
      </c>
    </row>
    <row r="187" customFormat="false" ht="15" hidden="false" customHeight="false" outlineLevel="0" collapsed="false">
      <c r="B187" s="10" t="s">
        <v>114</v>
      </c>
      <c r="C187" s="17" t="n">
        <v>2023</v>
      </c>
      <c r="D187" s="10" t="s">
        <v>300</v>
      </c>
      <c r="E187" s="63" t="n">
        <v>2862</v>
      </c>
      <c r="F187" s="10" t="s">
        <v>341</v>
      </c>
      <c r="G187" s="10" t="s">
        <v>288</v>
      </c>
      <c r="H187" s="64" t="s">
        <v>298</v>
      </c>
      <c r="I187" s="10" t="s">
        <v>299</v>
      </c>
    </row>
    <row r="188" customFormat="false" ht="15" hidden="false" customHeight="false" outlineLevel="0" collapsed="false">
      <c r="B188" s="10" t="s">
        <v>114</v>
      </c>
      <c r="C188" s="17" t="n">
        <v>2024</v>
      </c>
      <c r="D188" s="10" t="s">
        <v>303</v>
      </c>
      <c r="E188" s="63" t="n">
        <v>2851</v>
      </c>
      <c r="F188" s="10" t="s">
        <v>341</v>
      </c>
      <c r="G188" s="10" t="s">
        <v>288</v>
      </c>
      <c r="H188" s="64" t="s">
        <v>301</v>
      </c>
      <c r="I188" s="10" t="s">
        <v>302</v>
      </c>
    </row>
    <row r="189" customFormat="false" ht="15" hidden="false" customHeight="false" outlineLevel="0" collapsed="false">
      <c r="B189" s="10" t="s">
        <v>114</v>
      </c>
      <c r="C189" s="17" t="n">
        <v>2025</v>
      </c>
      <c r="D189" s="10" t="s">
        <v>306</v>
      </c>
      <c r="E189" s="63" t="n">
        <v>3479</v>
      </c>
      <c r="F189" s="10" t="s">
        <v>341</v>
      </c>
      <c r="G189" s="10" t="s">
        <v>288</v>
      </c>
      <c r="H189" s="64" t="s">
        <v>304</v>
      </c>
      <c r="I189" s="10" t="s">
        <v>305</v>
      </c>
    </row>
    <row r="190" customFormat="false" ht="15" hidden="false" customHeight="false" outlineLevel="0" collapsed="false">
      <c r="B190" s="10" t="s">
        <v>114</v>
      </c>
      <c r="C190" s="17" t="n">
        <v>2026</v>
      </c>
      <c r="D190" s="10" t="s">
        <v>307</v>
      </c>
      <c r="E190" s="63" t="n">
        <v>3600</v>
      </c>
      <c r="F190" s="10" t="s">
        <v>341</v>
      </c>
      <c r="G190" s="10" t="s">
        <v>288</v>
      </c>
      <c r="H190" s="64" t="s">
        <v>304</v>
      </c>
      <c r="I190" s="10" t="s">
        <v>305</v>
      </c>
    </row>
    <row r="191" customFormat="false" ht="15" hidden="false" customHeight="false" outlineLevel="0" collapsed="false">
      <c r="B191" s="10" t="s">
        <v>342</v>
      </c>
      <c r="C191" s="17" t="n">
        <v>2019</v>
      </c>
      <c r="D191" s="10" t="s">
        <v>286</v>
      </c>
      <c r="E191" s="63" t="n">
        <v>4744</v>
      </c>
      <c r="F191" s="10" t="s">
        <v>343</v>
      </c>
      <c r="G191" s="10" t="s">
        <v>288</v>
      </c>
      <c r="H191" s="64" t="s">
        <v>310</v>
      </c>
      <c r="I191" s="10" t="s">
        <v>311</v>
      </c>
    </row>
    <row r="192" customFormat="false" ht="15" hidden="false" customHeight="false" outlineLevel="0" collapsed="false">
      <c r="B192" s="10" t="s">
        <v>342</v>
      </c>
      <c r="C192" s="17" t="n">
        <v>2020</v>
      </c>
      <c r="D192" s="10" t="s">
        <v>291</v>
      </c>
      <c r="E192" s="63" t="n">
        <v>4866</v>
      </c>
      <c r="F192" s="10" t="s">
        <v>343</v>
      </c>
      <c r="G192" s="10" t="s">
        <v>288</v>
      </c>
      <c r="H192" s="64" t="s">
        <v>289</v>
      </c>
      <c r="I192" s="10" t="s">
        <v>290</v>
      </c>
    </row>
    <row r="193" customFormat="false" ht="15" hidden="false" customHeight="false" outlineLevel="0" collapsed="false">
      <c r="B193" s="10" t="s">
        <v>342</v>
      </c>
      <c r="C193" s="17" t="n">
        <v>2021</v>
      </c>
      <c r="D193" s="10" t="s">
        <v>294</v>
      </c>
      <c r="E193" s="63" t="n">
        <v>4904</v>
      </c>
      <c r="F193" s="10" t="s">
        <v>343</v>
      </c>
      <c r="G193" s="10" t="s">
        <v>288</v>
      </c>
      <c r="H193" s="64" t="s">
        <v>292</v>
      </c>
      <c r="I193" s="10" t="s">
        <v>293</v>
      </c>
    </row>
    <row r="194" customFormat="false" ht="15" hidden="false" customHeight="false" outlineLevel="0" collapsed="false">
      <c r="B194" s="10" t="s">
        <v>342</v>
      </c>
      <c r="C194" s="17" t="n">
        <v>2022</v>
      </c>
      <c r="D194" s="10" t="s">
        <v>297</v>
      </c>
      <c r="E194" s="63" t="n">
        <v>4791</v>
      </c>
      <c r="F194" s="10" t="s">
        <v>343</v>
      </c>
      <c r="G194" s="10" t="s">
        <v>288</v>
      </c>
      <c r="H194" s="64" t="s">
        <v>295</v>
      </c>
      <c r="I194" s="10" t="s">
        <v>296</v>
      </c>
    </row>
    <row r="195" customFormat="false" ht="15" hidden="false" customHeight="false" outlineLevel="0" collapsed="false">
      <c r="B195" s="10" t="s">
        <v>342</v>
      </c>
      <c r="C195" s="17" t="n">
        <v>2023</v>
      </c>
      <c r="D195" s="10" t="s">
        <v>300</v>
      </c>
      <c r="E195" s="63" t="n">
        <v>5081</v>
      </c>
      <c r="F195" s="10" t="s">
        <v>343</v>
      </c>
      <c r="G195" s="10" t="s">
        <v>288</v>
      </c>
      <c r="H195" s="64" t="s">
        <v>298</v>
      </c>
      <c r="I195" s="10" t="s">
        <v>299</v>
      </c>
    </row>
    <row r="196" customFormat="false" ht="15" hidden="false" customHeight="false" outlineLevel="0" collapsed="false">
      <c r="B196" s="10" t="s">
        <v>342</v>
      </c>
      <c r="C196" s="17" t="n">
        <v>2024</v>
      </c>
      <c r="D196" s="10" t="s">
        <v>303</v>
      </c>
      <c r="E196" s="63" t="n">
        <v>5000</v>
      </c>
      <c r="F196" s="10" t="s">
        <v>343</v>
      </c>
      <c r="G196" s="10" t="s">
        <v>288</v>
      </c>
      <c r="H196" s="64" t="s">
        <v>301</v>
      </c>
      <c r="I196" s="10" t="s">
        <v>302</v>
      </c>
    </row>
    <row r="197" customFormat="false" ht="15" hidden="false" customHeight="false" outlineLevel="0" collapsed="false">
      <c r="B197" s="10" t="s">
        <v>342</v>
      </c>
      <c r="C197" s="17" t="n">
        <v>2025</v>
      </c>
      <c r="D197" s="10" t="s">
        <v>306</v>
      </c>
      <c r="E197" s="63" t="n">
        <v>4828</v>
      </c>
      <c r="F197" s="10" t="s">
        <v>343</v>
      </c>
      <c r="G197" s="10" t="s">
        <v>288</v>
      </c>
      <c r="H197" s="64" t="s">
        <v>304</v>
      </c>
      <c r="I197" s="10" t="s">
        <v>305</v>
      </c>
    </row>
    <row r="198" customFormat="false" ht="15" hidden="false" customHeight="false" outlineLevel="0" collapsed="false">
      <c r="B198" s="10" t="s">
        <v>342</v>
      </c>
      <c r="C198" s="17" t="n">
        <v>2026</v>
      </c>
      <c r="D198" s="10" t="s">
        <v>307</v>
      </c>
      <c r="E198" s="63" t="n">
        <v>4796</v>
      </c>
      <c r="F198" s="10" t="s">
        <v>343</v>
      </c>
      <c r="G198" s="10" t="s">
        <v>288</v>
      </c>
      <c r="H198" s="64" t="s">
        <v>304</v>
      </c>
      <c r="I198" s="10" t="s">
        <v>305</v>
      </c>
    </row>
    <row r="199" customFormat="false" ht="15" hidden="false" customHeight="false" outlineLevel="0" collapsed="false">
      <c r="B199" s="10" t="s">
        <v>103</v>
      </c>
      <c r="C199" s="17" t="n">
        <v>2019</v>
      </c>
      <c r="D199" s="10" t="s">
        <v>286</v>
      </c>
      <c r="E199" s="63" t="n">
        <v>4801</v>
      </c>
      <c r="F199" s="10" t="s">
        <v>344</v>
      </c>
      <c r="G199" s="10" t="s">
        <v>288</v>
      </c>
      <c r="H199" s="64" t="s">
        <v>289</v>
      </c>
      <c r="I199" s="10" t="s">
        <v>290</v>
      </c>
    </row>
    <row r="200" customFormat="false" ht="15" hidden="false" customHeight="false" outlineLevel="0" collapsed="false">
      <c r="B200" s="10" t="s">
        <v>103</v>
      </c>
      <c r="C200" s="17" t="n">
        <v>2020</v>
      </c>
      <c r="D200" s="10" t="s">
        <v>291</v>
      </c>
      <c r="E200" s="63" t="n">
        <v>2887</v>
      </c>
      <c r="F200" s="10" t="s">
        <v>345</v>
      </c>
      <c r="G200" s="10" t="s">
        <v>288</v>
      </c>
      <c r="H200" s="64" t="s">
        <v>292</v>
      </c>
      <c r="I200" s="10" t="s">
        <v>293</v>
      </c>
    </row>
    <row r="201" customFormat="false" ht="15" hidden="false" customHeight="false" outlineLevel="0" collapsed="false">
      <c r="B201" s="10" t="s">
        <v>103</v>
      </c>
      <c r="C201" s="17" t="n">
        <v>2021</v>
      </c>
      <c r="D201" s="10" t="s">
        <v>294</v>
      </c>
      <c r="E201" s="63" t="n">
        <v>6661</v>
      </c>
      <c r="F201" s="10" t="s">
        <v>345</v>
      </c>
      <c r="G201" s="10" t="s">
        <v>288</v>
      </c>
      <c r="H201" s="64" t="s">
        <v>295</v>
      </c>
      <c r="I201" s="10" t="s">
        <v>296</v>
      </c>
    </row>
    <row r="202" customFormat="false" ht="15" hidden="false" customHeight="false" outlineLevel="0" collapsed="false">
      <c r="B202" s="10" t="s">
        <v>103</v>
      </c>
      <c r="C202" s="17" t="n">
        <v>2022</v>
      </c>
      <c r="D202" s="10" t="s">
        <v>297</v>
      </c>
      <c r="E202" s="63" t="n">
        <v>6651</v>
      </c>
      <c r="F202" s="10" t="s">
        <v>345</v>
      </c>
      <c r="G202" s="10" t="s">
        <v>288</v>
      </c>
      <c r="H202" s="64" t="s">
        <v>298</v>
      </c>
      <c r="I202" s="10" t="s">
        <v>299</v>
      </c>
    </row>
    <row r="203" customFormat="false" ht="15" hidden="false" customHeight="false" outlineLevel="0" collapsed="false">
      <c r="B203" s="10" t="s">
        <v>103</v>
      </c>
      <c r="C203" s="17" t="n">
        <v>2023</v>
      </c>
      <c r="D203" s="10" t="s">
        <v>300</v>
      </c>
      <c r="E203" s="63" t="n">
        <v>6201</v>
      </c>
      <c r="F203" s="10" t="s">
        <v>345</v>
      </c>
      <c r="G203" s="10" t="s">
        <v>288</v>
      </c>
      <c r="H203" s="64" t="s">
        <v>301</v>
      </c>
      <c r="I203" s="10" t="s">
        <v>302</v>
      </c>
    </row>
    <row r="204" customFormat="false" ht="15" hidden="false" customHeight="false" outlineLevel="0" collapsed="false">
      <c r="B204" s="10" t="s">
        <v>103</v>
      </c>
      <c r="C204" s="17" t="n">
        <v>2024</v>
      </c>
      <c r="D204" s="10" t="s">
        <v>303</v>
      </c>
      <c r="E204" s="63" t="n">
        <v>6700</v>
      </c>
      <c r="F204" s="10" t="s">
        <v>345</v>
      </c>
      <c r="G204" s="10" t="s">
        <v>288</v>
      </c>
      <c r="H204" s="64" t="s">
        <v>304</v>
      </c>
      <c r="I204" s="10" t="s">
        <v>305</v>
      </c>
    </row>
    <row r="205" customFormat="false" ht="15" hidden="false" customHeight="false" outlineLevel="0" collapsed="false">
      <c r="B205" s="10" t="s">
        <v>103</v>
      </c>
      <c r="C205" s="17" t="n">
        <v>2025</v>
      </c>
      <c r="D205" s="10" t="s">
        <v>306</v>
      </c>
      <c r="E205" s="63" t="n">
        <v>3885</v>
      </c>
      <c r="F205" s="10" t="s">
        <v>345</v>
      </c>
      <c r="G205" s="10" t="s">
        <v>288</v>
      </c>
      <c r="H205" s="64" t="s">
        <v>304</v>
      </c>
      <c r="I205" s="10" t="s">
        <v>305</v>
      </c>
    </row>
    <row r="206" customFormat="false" ht="15" hidden="false" customHeight="false" outlineLevel="0" collapsed="false">
      <c r="B206" s="10" t="s">
        <v>103</v>
      </c>
      <c r="C206" s="17" t="n">
        <v>2026</v>
      </c>
      <c r="D206" s="10" t="s">
        <v>307</v>
      </c>
      <c r="E206" s="63" t="n">
        <v>3900</v>
      </c>
      <c r="F206" s="10" t="s">
        <v>345</v>
      </c>
      <c r="G206" s="10" t="s">
        <v>288</v>
      </c>
      <c r="H206" s="64" t="s">
        <v>304</v>
      </c>
      <c r="I206" s="10" t="s">
        <v>305</v>
      </c>
    </row>
    <row r="207" customFormat="false" ht="15" hidden="false" customHeight="false" outlineLevel="0" collapsed="false">
      <c r="B207" s="10" t="s">
        <v>112</v>
      </c>
      <c r="C207" s="17" t="n">
        <v>2019</v>
      </c>
      <c r="D207" s="10" t="s">
        <v>286</v>
      </c>
      <c r="E207" s="63" t="n">
        <v>4272</v>
      </c>
      <c r="F207" s="10" t="s">
        <v>346</v>
      </c>
      <c r="G207" s="10" t="s">
        <v>288</v>
      </c>
      <c r="H207" s="64" t="s">
        <v>310</v>
      </c>
      <c r="I207" s="10" t="s">
        <v>311</v>
      </c>
    </row>
    <row r="208" customFormat="false" ht="15" hidden="false" customHeight="false" outlineLevel="0" collapsed="false">
      <c r="B208" s="10" t="s">
        <v>112</v>
      </c>
      <c r="C208" s="17" t="n">
        <v>2020</v>
      </c>
      <c r="D208" s="10" t="s">
        <v>291</v>
      </c>
      <c r="E208" s="63" t="n">
        <v>2749</v>
      </c>
      <c r="F208" s="10" t="s">
        <v>346</v>
      </c>
      <c r="G208" s="10" t="s">
        <v>288</v>
      </c>
      <c r="H208" s="64" t="s">
        <v>289</v>
      </c>
      <c r="I208" s="10" t="s">
        <v>290</v>
      </c>
    </row>
    <row r="209" customFormat="false" ht="15" hidden="false" customHeight="false" outlineLevel="0" collapsed="false">
      <c r="B209" s="10" t="s">
        <v>112</v>
      </c>
      <c r="C209" s="17" t="n">
        <v>2021</v>
      </c>
      <c r="D209" s="10" t="s">
        <v>294</v>
      </c>
      <c r="E209" s="63" t="n">
        <v>4463</v>
      </c>
      <c r="F209" s="10" t="s">
        <v>346</v>
      </c>
      <c r="G209" s="10" t="s">
        <v>288</v>
      </c>
      <c r="H209" s="64" t="s">
        <v>292</v>
      </c>
      <c r="I209" s="10" t="s">
        <v>293</v>
      </c>
    </row>
    <row r="210" customFormat="false" ht="15" hidden="false" customHeight="false" outlineLevel="0" collapsed="false">
      <c r="B210" s="10" t="s">
        <v>112</v>
      </c>
      <c r="C210" s="17" t="n">
        <v>2022</v>
      </c>
      <c r="D210" s="10" t="s">
        <v>297</v>
      </c>
      <c r="E210" s="63" t="n">
        <v>4667</v>
      </c>
      <c r="F210" s="10" t="s">
        <v>346</v>
      </c>
      <c r="G210" s="10" t="s">
        <v>288</v>
      </c>
      <c r="H210" s="64" t="s">
        <v>295</v>
      </c>
      <c r="I210" s="10" t="s">
        <v>296</v>
      </c>
    </row>
    <row r="211" customFormat="false" ht="15" hidden="false" customHeight="false" outlineLevel="0" collapsed="false">
      <c r="B211" s="10" t="s">
        <v>112</v>
      </c>
      <c r="C211" s="17" t="n">
        <v>2023</v>
      </c>
      <c r="D211" s="10" t="s">
        <v>300</v>
      </c>
      <c r="E211" s="63" t="n">
        <v>4131</v>
      </c>
      <c r="F211" s="10" t="s">
        <v>346</v>
      </c>
      <c r="G211" s="10" t="s">
        <v>288</v>
      </c>
      <c r="H211" s="64" t="s">
        <v>298</v>
      </c>
      <c r="I211" s="10" t="s">
        <v>299</v>
      </c>
    </row>
    <row r="212" customFormat="false" ht="15" hidden="false" customHeight="false" outlineLevel="0" collapsed="false">
      <c r="B212" s="10" t="s">
        <v>112</v>
      </c>
      <c r="C212" s="17" t="n">
        <v>2024</v>
      </c>
      <c r="D212" s="10" t="s">
        <v>303</v>
      </c>
      <c r="E212" s="63" t="n">
        <v>4427</v>
      </c>
      <c r="F212" s="10" t="s">
        <v>346</v>
      </c>
      <c r="G212" s="10" t="s">
        <v>288</v>
      </c>
      <c r="H212" s="64" t="s">
        <v>301</v>
      </c>
      <c r="I212" s="10" t="s">
        <v>302</v>
      </c>
    </row>
    <row r="213" customFormat="false" ht="15" hidden="false" customHeight="false" outlineLevel="0" collapsed="false">
      <c r="B213" s="10" t="s">
        <v>112</v>
      </c>
      <c r="C213" s="17" t="n">
        <v>2025</v>
      </c>
      <c r="D213" s="10" t="s">
        <v>306</v>
      </c>
      <c r="E213" s="63" t="n">
        <v>4717</v>
      </c>
      <c r="F213" s="10" t="s">
        <v>346</v>
      </c>
      <c r="G213" s="10" t="s">
        <v>288</v>
      </c>
      <c r="H213" s="64" t="s">
        <v>304</v>
      </c>
      <c r="I213" s="10" t="s">
        <v>305</v>
      </c>
    </row>
    <row r="214" customFormat="false" ht="15" hidden="false" customHeight="false" outlineLevel="0" collapsed="false">
      <c r="B214" s="10" t="s">
        <v>112</v>
      </c>
      <c r="C214" s="17" t="n">
        <v>2026</v>
      </c>
      <c r="D214" s="10" t="s">
        <v>307</v>
      </c>
      <c r="E214" s="63" t="n">
        <v>5931</v>
      </c>
      <c r="F214" s="10" t="s">
        <v>346</v>
      </c>
      <c r="G214" s="10" t="s">
        <v>288</v>
      </c>
      <c r="H214" s="64" t="s">
        <v>304</v>
      </c>
      <c r="I214" s="10" t="s">
        <v>305</v>
      </c>
    </row>
    <row r="215" customFormat="false" ht="15" hidden="false" customHeight="false" outlineLevel="0" collapsed="false">
      <c r="B215" s="10" t="s">
        <v>96</v>
      </c>
      <c r="C215" s="17" t="n">
        <v>2019</v>
      </c>
      <c r="D215" s="10" t="s">
        <v>286</v>
      </c>
      <c r="E215" s="63" t="n">
        <v>39117</v>
      </c>
      <c r="F215" s="10" t="s">
        <v>347</v>
      </c>
      <c r="G215" s="10" t="s">
        <v>288</v>
      </c>
      <c r="H215" s="64" t="s">
        <v>289</v>
      </c>
      <c r="I215" s="10" t="s">
        <v>290</v>
      </c>
    </row>
    <row r="216" customFormat="false" ht="15" hidden="false" customHeight="false" outlineLevel="0" collapsed="false">
      <c r="B216" s="10" t="s">
        <v>96</v>
      </c>
      <c r="C216" s="17" t="n">
        <v>2020</v>
      </c>
      <c r="D216" s="10" t="s">
        <v>291</v>
      </c>
      <c r="E216" s="63" t="n">
        <v>37403</v>
      </c>
      <c r="F216" s="10" t="s">
        <v>347</v>
      </c>
      <c r="G216" s="10" t="s">
        <v>288</v>
      </c>
      <c r="H216" s="64" t="s">
        <v>292</v>
      </c>
      <c r="I216" s="10" t="s">
        <v>293</v>
      </c>
    </row>
    <row r="217" customFormat="false" ht="15" hidden="false" customHeight="false" outlineLevel="0" collapsed="false">
      <c r="B217" s="10" t="s">
        <v>96</v>
      </c>
      <c r="C217" s="17" t="n">
        <v>2021</v>
      </c>
      <c r="D217" s="10" t="s">
        <v>294</v>
      </c>
      <c r="E217" s="63" t="n">
        <v>44538</v>
      </c>
      <c r="F217" s="10" t="s">
        <v>347</v>
      </c>
      <c r="G217" s="10" t="s">
        <v>288</v>
      </c>
      <c r="H217" s="64" t="s">
        <v>295</v>
      </c>
      <c r="I217" s="10" t="s">
        <v>296</v>
      </c>
    </row>
    <row r="218" customFormat="false" ht="15" hidden="false" customHeight="false" outlineLevel="0" collapsed="false">
      <c r="B218" s="10" t="s">
        <v>96</v>
      </c>
      <c r="C218" s="17" t="n">
        <v>2022</v>
      </c>
      <c r="D218" s="10" t="s">
        <v>297</v>
      </c>
      <c r="E218" s="63" t="n">
        <v>46710</v>
      </c>
      <c r="F218" s="10" t="s">
        <v>347</v>
      </c>
      <c r="G218" s="10" t="s">
        <v>288</v>
      </c>
      <c r="H218" s="64" t="s">
        <v>298</v>
      </c>
      <c r="I218" s="10" t="s">
        <v>299</v>
      </c>
    </row>
    <row r="219" customFormat="false" ht="15" hidden="false" customHeight="false" outlineLevel="0" collapsed="false">
      <c r="B219" s="10" t="s">
        <v>96</v>
      </c>
      <c r="C219" s="17" t="n">
        <v>2023</v>
      </c>
      <c r="D219" s="10" t="s">
        <v>300</v>
      </c>
      <c r="E219" s="63" t="n">
        <v>51217</v>
      </c>
      <c r="F219" s="10" t="s">
        <v>347</v>
      </c>
      <c r="G219" s="10" t="s">
        <v>288</v>
      </c>
      <c r="H219" s="64" t="s">
        <v>301</v>
      </c>
      <c r="I219" s="10" t="s">
        <v>302</v>
      </c>
    </row>
    <row r="220" customFormat="false" ht="15" hidden="false" customHeight="false" outlineLevel="0" collapsed="false">
      <c r="B220" s="10" t="s">
        <v>96</v>
      </c>
      <c r="C220" s="17" t="n">
        <v>2024</v>
      </c>
      <c r="D220" s="10" t="s">
        <v>303</v>
      </c>
      <c r="E220" s="63" t="n">
        <v>51362</v>
      </c>
      <c r="F220" s="10" t="s">
        <v>347</v>
      </c>
      <c r="G220" s="10" t="s">
        <v>288</v>
      </c>
      <c r="H220" s="64" t="s">
        <v>304</v>
      </c>
      <c r="I220" s="10" t="s">
        <v>305</v>
      </c>
    </row>
    <row r="221" customFormat="false" ht="15" hidden="false" customHeight="false" outlineLevel="0" collapsed="false">
      <c r="B221" s="10" t="s">
        <v>96</v>
      </c>
      <c r="C221" s="17" t="n">
        <v>2025</v>
      </c>
      <c r="D221" s="10" t="s">
        <v>306</v>
      </c>
      <c r="E221" s="63" t="n">
        <v>46309</v>
      </c>
      <c r="F221" s="10" t="s">
        <v>347</v>
      </c>
      <c r="G221" s="10" t="s">
        <v>288</v>
      </c>
      <c r="H221" s="64" t="s">
        <v>304</v>
      </c>
      <c r="I221" s="10" t="s">
        <v>305</v>
      </c>
    </row>
    <row r="222" customFormat="false" ht="15" hidden="false" customHeight="false" outlineLevel="0" collapsed="false">
      <c r="B222" s="10" t="s">
        <v>96</v>
      </c>
      <c r="C222" s="17" t="n">
        <v>2026</v>
      </c>
      <c r="D222" s="10" t="s">
        <v>307</v>
      </c>
      <c r="E222" s="63" t="n">
        <v>46398</v>
      </c>
      <c r="F222" s="10" t="s">
        <v>347</v>
      </c>
      <c r="G222" s="10" t="s">
        <v>288</v>
      </c>
      <c r="H222" s="64" t="s">
        <v>304</v>
      </c>
      <c r="I222" s="10" t="s">
        <v>305</v>
      </c>
    </row>
    <row r="223" customFormat="false" ht="15" hidden="false" customHeight="false" outlineLevel="0" collapsed="false">
      <c r="B223" s="10" t="s">
        <v>109</v>
      </c>
      <c r="C223" s="17" t="n">
        <v>2019</v>
      </c>
      <c r="D223" s="10" t="s">
        <v>286</v>
      </c>
      <c r="E223" s="63" t="n">
        <v>325</v>
      </c>
      <c r="F223" s="10" t="s">
        <v>348</v>
      </c>
      <c r="G223" s="10" t="s">
        <v>288</v>
      </c>
      <c r="H223" s="64" t="s">
        <v>289</v>
      </c>
      <c r="I223" s="10" t="s">
        <v>290</v>
      </c>
    </row>
    <row r="224" customFormat="false" ht="15" hidden="false" customHeight="false" outlineLevel="0" collapsed="false">
      <c r="B224" s="10" t="s">
        <v>109</v>
      </c>
      <c r="C224" s="17" t="n">
        <v>2020</v>
      </c>
      <c r="D224" s="10" t="s">
        <v>291</v>
      </c>
      <c r="E224" s="63" t="n">
        <v>429</v>
      </c>
      <c r="F224" s="10" t="s">
        <v>348</v>
      </c>
      <c r="G224" s="10" t="s">
        <v>288</v>
      </c>
      <c r="H224" s="64" t="s">
        <v>292</v>
      </c>
      <c r="I224" s="10" t="s">
        <v>293</v>
      </c>
    </row>
    <row r="225" customFormat="false" ht="15" hidden="false" customHeight="false" outlineLevel="0" collapsed="false">
      <c r="B225" s="10" t="s">
        <v>109</v>
      </c>
      <c r="C225" s="17" t="n">
        <v>2021</v>
      </c>
      <c r="D225" s="10" t="s">
        <v>294</v>
      </c>
      <c r="E225" s="63" t="n">
        <v>611</v>
      </c>
      <c r="F225" s="10" t="s">
        <v>348</v>
      </c>
      <c r="G225" s="10" t="s">
        <v>288</v>
      </c>
      <c r="H225" s="64" t="s">
        <v>295</v>
      </c>
      <c r="I225" s="10" t="s">
        <v>296</v>
      </c>
    </row>
    <row r="226" customFormat="false" ht="15" hidden="false" customHeight="false" outlineLevel="0" collapsed="false">
      <c r="B226" s="10" t="s">
        <v>109</v>
      </c>
      <c r="C226" s="17" t="n">
        <v>2022</v>
      </c>
      <c r="D226" s="10" t="s">
        <v>297</v>
      </c>
      <c r="E226" s="63" t="n">
        <v>638</v>
      </c>
      <c r="F226" s="10" t="s">
        <v>348</v>
      </c>
      <c r="G226" s="10" t="s">
        <v>288</v>
      </c>
      <c r="H226" s="64" t="s">
        <v>298</v>
      </c>
      <c r="I226" s="10" t="s">
        <v>299</v>
      </c>
    </row>
    <row r="227" customFormat="false" ht="15" hidden="false" customHeight="false" outlineLevel="0" collapsed="false">
      <c r="B227" s="10" t="s">
        <v>109</v>
      </c>
      <c r="C227" s="17" t="n">
        <v>2023</v>
      </c>
      <c r="D227" s="10" t="s">
        <v>300</v>
      </c>
      <c r="E227" s="63" t="n">
        <v>755</v>
      </c>
      <c r="F227" s="10" t="s">
        <v>348</v>
      </c>
      <c r="G227" s="10" t="s">
        <v>288</v>
      </c>
      <c r="H227" s="64" t="s">
        <v>301</v>
      </c>
      <c r="I227" s="10" t="s">
        <v>302</v>
      </c>
    </row>
    <row r="228" customFormat="false" ht="15" hidden="false" customHeight="false" outlineLevel="0" collapsed="false">
      <c r="B228" s="10" t="s">
        <v>109</v>
      </c>
      <c r="C228" s="17" t="n">
        <v>2024</v>
      </c>
      <c r="D228" s="10" t="s">
        <v>303</v>
      </c>
      <c r="E228" s="63" t="n">
        <v>804</v>
      </c>
      <c r="F228" s="10" t="s">
        <v>348</v>
      </c>
      <c r="G228" s="10" t="s">
        <v>288</v>
      </c>
      <c r="H228" s="64" t="s">
        <v>304</v>
      </c>
      <c r="I228" s="10" t="s">
        <v>305</v>
      </c>
    </row>
    <row r="229" customFormat="false" ht="15" hidden="false" customHeight="false" outlineLevel="0" collapsed="false">
      <c r="B229" s="10" t="s">
        <v>109</v>
      </c>
      <c r="C229" s="17" t="n">
        <v>2025</v>
      </c>
      <c r="D229" s="10" t="s">
        <v>306</v>
      </c>
      <c r="E229" s="63" t="n">
        <v>709</v>
      </c>
      <c r="F229" s="10" t="s">
        <v>348</v>
      </c>
      <c r="G229" s="10" t="s">
        <v>288</v>
      </c>
      <c r="H229" s="64" t="s">
        <v>304</v>
      </c>
      <c r="I229" s="10" t="s">
        <v>305</v>
      </c>
    </row>
    <row r="230" customFormat="false" ht="15" hidden="false" customHeight="false" outlineLevel="0" collapsed="false">
      <c r="B230" s="10" t="s">
        <v>109</v>
      </c>
      <c r="C230" s="17" t="n">
        <v>2026</v>
      </c>
      <c r="D230" s="10" t="s">
        <v>307</v>
      </c>
      <c r="E230" s="63" t="n">
        <v>715</v>
      </c>
      <c r="F230" s="10" t="s">
        <v>348</v>
      </c>
      <c r="G230" s="10" t="s">
        <v>288</v>
      </c>
      <c r="H230" s="64" t="s">
        <v>304</v>
      </c>
      <c r="I230" s="10" t="s">
        <v>305</v>
      </c>
    </row>
    <row r="231" customFormat="false" ht="15" hidden="false" customHeight="false" outlineLevel="0" collapsed="false">
      <c r="B231" s="10" t="s">
        <v>349</v>
      </c>
      <c r="C231" s="17" t="n">
        <v>2019</v>
      </c>
      <c r="D231" s="10" t="s">
        <v>286</v>
      </c>
      <c r="E231" s="63" t="n">
        <v>12702</v>
      </c>
      <c r="F231" s="10" t="s">
        <v>350</v>
      </c>
      <c r="G231" s="10" t="s">
        <v>288</v>
      </c>
      <c r="H231" s="64" t="s">
        <v>289</v>
      </c>
      <c r="I231" s="10" t="s">
        <v>290</v>
      </c>
    </row>
    <row r="232" customFormat="false" ht="15" hidden="false" customHeight="false" outlineLevel="0" collapsed="false">
      <c r="B232" s="10" t="s">
        <v>349</v>
      </c>
      <c r="C232" s="17" t="n">
        <v>2020</v>
      </c>
      <c r="D232" s="10" t="s">
        <v>291</v>
      </c>
      <c r="E232" s="63" t="n">
        <v>13126</v>
      </c>
      <c r="F232" s="10" t="s">
        <v>350</v>
      </c>
      <c r="G232" s="10" t="s">
        <v>288</v>
      </c>
      <c r="H232" s="64" t="s">
        <v>292</v>
      </c>
      <c r="I232" s="10" t="s">
        <v>293</v>
      </c>
    </row>
    <row r="233" customFormat="false" ht="15" hidden="false" customHeight="false" outlineLevel="0" collapsed="false">
      <c r="B233" s="10" t="s">
        <v>349</v>
      </c>
      <c r="C233" s="17" t="n">
        <v>2021</v>
      </c>
      <c r="D233" s="10" t="s">
        <v>294</v>
      </c>
      <c r="E233" s="63" t="n">
        <v>13025</v>
      </c>
      <c r="F233" s="10" t="s">
        <v>350</v>
      </c>
      <c r="G233" s="10" t="s">
        <v>288</v>
      </c>
      <c r="H233" s="64" t="s">
        <v>295</v>
      </c>
      <c r="I233" s="10" t="s">
        <v>296</v>
      </c>
    </row>
    <row r="234" customFormat="false" ht="15" hidden="false" customHeight="false" outlineLevel="0" collapsed="false">
      <c r="B234" s="10" t="s">
        <v>349</v>
      </c>
      <c r="C234" s="17" t="n">
        <v>2022</v>
      </c>
      <c r="D234" s="10" t="s">
        <v>297</v>
      </c>
      <c r="E234" s="63" t="n">
        <v>14804</v>
      </c>
      <c r="F234" s="10" t="s">
        <v>350</v>
      </c>
      <c r="G234" s="10" t="s">
        <v>288</v>
      </c>
      <c r="H234" s="64" t="s">
        <v>298</v>
      </c>
      <c r="I234" s="10" t="s">
        <v>299</v>
      </c>
    </row>
    <row r="235" customFormat="false" ht="15" hidden="false" customHeight="false" outlineLevel="0" collapsed="false">
      <c r="B235" s="10" t="s">
        <v>349</v>
      </c>
      <c r="C235" s="17" t="n">
        <v>2023</v>
      </c>
      <c r="D235" s="10" t="s">
        <v>300</v>
      </c>
      <c r="E235" s="63" t="n">
        <v>16377</v>
      </c>
      <c r="F235" s="10" t="s">
        <v>350</v>
      </c>
      <c r="G235" s="10" t="s">
        <v>288</v>
      </c>
      <c r="H235" s="64" t="s">
        <v>301</v>
      </c>
      <c r="I235" s="10" t="s">
        <v>302</v>
      </c>
    </row>
    <row r="236" customFormat="false" ht="15" hidden="false" customHeight="false" outlineLevel="0" collapsed="false">
      <c r="B236" s="10" t="s">
        <v>349</v>
      </c>
      <c r="C236" s="17" t="n">
        <v>2024</v>
      </c>
      <c r="D236" s="10" t="s">
        <v>303</v>
      </c>
      <c r="E236" s="63" t="n">
        <v>16576</v>
      </c>
      <c r="F236" s="10" t="s">
        <v>350</v>
      </c>
      <c r="G236" s="10" t="s">
        <v>288</v>
      </c>
      <c r="H236" s="64" t="s">
        <v>304</v>
      </c>
      <c r="I236" s="10" t="s">
        <v>305</v>
      </c>
    </row>
    <row r="237" customFormat="false" ht="15" hidden="false" customHeight="false" outlineLevel="0" collapsed="false">
      <c r="B237" s="10" t="s">
        <v>349</v>
      </c>
      <c r="C237" s="17" t="n">
        <v>2025</v>
      </c>
      <c r="D237" s="10" t="s">
        <v>306</v>
      </c>
      <c r="E237" s="63" t="n">
        <v>16088</v>
      </c>
      <c r="F237" s="10" t="s">
        <v>350</v>
      </c>
      <c r="G237" s="10" t="s">
        <v>288</v>
      </c>
      <c r="H237" s="64" t="s">
        <v>304</v>
      </c>
      <c r="I237" s="10" t="s">
        <v>305</v>
      </c>
    </row>
    <row r="238" customFormat="false" ht="15" hidden="false" customHeight="false" outlineLevel="0" collapsed="false">
      <c r="B238" s="10" t="s">
        <v>349</v>
      </c>
      <c r="C238" s="17" t="n">
        <v>2026</v>
      </c>
      <c r="D238" s="10" t="s">
        <v>307</v>
      </c>
      <c r="E238" s="63" t="n">
        <v>16114</v>
      </c>
      <c r="F238" s="10" t="s">
        <v>350</v>
      </c>
      <c r="G238" s="10" t="s">
        <v>288</v>
      </c>
      <c r="H238" s="64" t="s">
        <v>304</v>
      </c>
      <c r="I238" s="10" t="s">
        <v>305</v>
      </c>
    </row>
    <row r="239" customFormat="false" ht="15" hidden="false" customHeight="false" outlineLevel="0" collapsed="false">
      <c r="B239" s="10" t="s">
        <v>351</v>
      </c>
      <c r="C239" s="17" t="n">
        <v>2019</v>
      </c>
      <c r="D239" s="10" t="s">
        <v>286</v>
      </c>
      <c r="E239" s="63" t="n">
        <v>9</v>
      </c>
      <c r="F239" s="10" t="s">
        <v>352</v>
      </c>
      <c r="G239" s="10" t="s">
        <v>288</v>
      </c>
      <c r="H239" s="64" t="s">
        <v>310</v>
      </c>
      <c r="I239" s="10" t="s">
        <v>311</v>
      </c>
    </row>
    <row r="240" customFormat="false" ht="15" hidden="false" customHeight="false" outlineLevel="0" collapsed="false">
      <c r="B240" s="10" t="s">
        <v>351</v>
      </c>
      <c r="C240" s="17" t="n">
        <v>2020</v>
      </c>
      <c r="D240" s="10" t="s">
        <v>291</v>
      </c>
      <c r="E240" s="63" t="n">
        <v>248</v>
      </c>
      <c r="F240" s="10" t="s">
        <v>352</v>
      </c>
      <c r="G240" s="10" t="s">
        <v>288</v>
      </c>
      <c r="H240" s="64" t="s">
        <v>289</v>
      </c>
      <c r="I240" s="10" t="s">
        <v>290</v>
      </c>
    </row>
    <row r="241" customFormat="false" ht="15" hidden="false" customHeight="false" outlineLevel="0" collapsed="false">
      <c r="B241" s="10" t="s">
        <v>351</v>
      </c>
      <c r="C241" s="17" t="n">
        <v>2021</v>
      </c>
      <c r="D241" s="10" t="s">
        <v>294</v>
      </c>
      <c r="E241" s="63" t="n">
        <v>2</v>
      </c>
      <c r="F241" s="10" t="s">
        <v>352</v>
      </c>
      <c r="G241" s="10" t="s">
        <v>288</v>
      </c>
      <c r="H241" s="64" t="s">
        <v>292</v>
      </c>
      <c r="I241" s="10" t="s">
        <v>293</v>
      </c>
    </row>
    <row r="242" customFormat="false" ht="15" hidden="false" customHeight="false" outlineLevel="0" collapsed="false">
      <c r="B242" s="10" t="s">
        <v>351</v>
      </c>
      <c r="C242" s="17" t="n">
        <v>2022</v>
      </c>
      <c r="D242" s="10" t="s">
        <v>297</v>
      </c>
      <c r="E242" s="63" t="n">
        <v>10</v>
      </c>
      <c r="F242" s="10" t="s">
        <v>352</v>
      </c>
      <c r="G242" s="10" t="s">
        <v>288</v>
      </c>
      <c r="H242" s="64" t="s">
        <v>295</v>
      </c>
      <c r="I242" s="10" t="s">
        <v>296</v>
      </c>
    </row>
    <row r="243" customFormat="false" ht="15" hidden="false" customHeight="false" outlineLevel="0" collapsed="false">
      <c r="B243" s="10" t="s">
        <v>351</v>
      </c>
      <c r="C243" s="17" t="n">
        <v>2023</v>
      </c>
      <c r="D243" s="10" t="s">
        <v>300</v>
      </c>
      <c r="E243" s="63" t="n">
        <v>6</v>
      </c>
      <c r="F243" s="10" t="s">
        <v>352</v>
      </c>
      <c r="G243" s="10" t="s">
        <v>288</v>
      </c>
      <c r="H243" s="64" t="s">
        <v>298</v>
      </c>
      <c r="I243" s="10" t="s">
        <v>299</v>
      </c>
    </row>
    <row r="244" customFormat="false" ht="15" hidden="false" customHeight="false" outlineLevel="0" collapsed="false">
      <c r="B244" s="10" t="s">
        <v>351</v>
      </c>
      <c r="C244" s="17" t="n">
        <v>2024</v>
      </c>
      <c r="D244" s="10" t="s">
        <v>303</v>
      </c>
      <c r="E244" s="63" t="n">
        <v>6</v>
      </c>
      <c r="F244" s="10" t="s">
        <v>352</v>
      </c>
      <c r="G244" s="10" t="s">
        <v>288</v>
      </c>
      <c r="H244" s="64" t="s">
        <v>301</v>
      </c>
      <c r="I244" s="10" t="s">
        <v>302</v>
      </c>
    </row>
    <row r="245" customFormat="false" ht="15" hidden="false" customHeight="false" outlineLevel="0" collapsed="false">
      <c r="B245" s="10" t="s">
        <v>351</v>
      </c>
      <c r="C245" s="17" t="n">
        <v>2025</v>
      </c>
      <c r="D245" s="10" t="s">
        <v>306</v>
      </c>
      <c r="E245" s="63" t="n">
        <v>5</v>
      </c>
      <c r="F245" s="10" t="s">
        <v>352</v>
      </c>
      <c r="G245" s="10" t="s">
        <v>288</v>
      </c>
      <c r="H245" s="64" t="s">
        <v>301</v>
      </c>
      <c r="I245" s="10" t="s">
        <v>302</v>
      </c>
    </row>
    <row r="246" customFormat="false" ht="15" hidden="false" customHeight="false" outlineLevel="0" collapsed="false">
      <c r="B246" s="10" t="s">
        <v>47</v>
      </c>
      <c r="C246" s="17" t="n">
        <v>2019</v>
      </c>
      <c r="D246" s="10" t="s">
        <v>286</v>
      </c>
      <c r="E246" s="63" t="n">
        <v>197</v>
      </c>
      <c r="F246" s="10" t="s">
        <v>353</v>
      </c>
      <c r="G246" s="10" t="s">
        <v>288</v>
      </c>
      <c r="H246" s="64" t="s">
        <v>310</v>
      </c>
      <c r="I246" s="10" t="s">
        <v>311</v>
      </c>
    </row>
    <row r="247" customFormat="false" ht="15" hidden="false" customHeight="false" outlineLevel="0" collapsed="false">
      <c r="B247" s="10" t="s">
        <v>47</v>
      </c>
      <c r="C247" s="17" t="n">
        <v>2020</v>
      </c>
      <c r="D247" s="10" t="s">
        <v>291</v>
      </c>
      <c r="E247" s="63" t="n">
        <v>439</v>
      </c>
      <c r="F247" s="10" t="s">
        <v>353</v>
      </c>
      <c r="G247" s="10" t="s">
        <v>288</v>
      </c>
      <c r="H247" s="64" t="s">
        <v>289</v>
      </c>
      <c r="I247" s="10" t="s">
        <v>290</v>
      </c>
    </row>
    <row r="248" customFormat="false" ht="15" hidden="false" customHeight="false" outlineLevel="0" collapsed="false">
      <c r="B248" s="10" t="s">
        <v>47</v>
      </c>
      <c r="C248" s="17" t="n">
        <v>2021</v>
      </c>
      <c r="D248" s="10" t="s">
        <v>294</v>
      </c>
      <c r="E248" s="63" t="n">
        <v>3587</v>
      </c>
      <c r="F248" s="10" t="s">
        <v>353</v>
      </c>
      <c r="G248" s="10" t="s">
        <v>288</v>
      </c>
      <c r="H248" s="64" t="s">
        <v>289</v>
      </c>
      <c r="I248" s="10" t="s">
        <v>290</v>
      </c>
    </row>
    <row r="249" customFormat="false" ht="15" hidden="false" customHeight="false" outlineLevel="0" collapsed="false">
      <c r="B249" s="10" t="s">
        <v>47</v>
      </c>
      <c r="C249" s="17" t="n">
        <v>2022</v>
      </c>
      <c r="D249" s="10" t="s">
        <v>297</v>
      </c>
      <c r="E249" s="63" t="n">
        <v>4423</v>
      </c>
      <c r="F249" s="10" t="s">
        <v>354</v>
      </c>
      <c r="G249" s="10" t="s">
        <v>288</v>
      </c>
      <c r="H249" s="64" t="s">
        <v>295</v>
      </c>
      <c r="I249" s="10" t="s">
        <v>296</v>
      </c>
    </row>
    <row r="250" customFormat="false" ht="15" hidden="false" customHeight="false" outlineLevel="0" collapsed="false">
      <c r="B250" s="10" t="s">
        <v>47</v>
      </c>
      <c r="C250" s="17" t="n">
        <v>2023</v>
      </c>
      <c r="D250" s="10" t="s">
        <v>300</v>
      </c>
      <c r="E250" s="63" t="n">
        <v>3234</v>
      </c>
      <c r="F250" s="10" t="s">
        <v>354</v>
      </c>
      <c r="G250" s="10" t="s">
        <v>288</v>
      </c>
      <c r="H250" s="64" t="s">
        <v>298</v>
      </c>
      <c r="I250" s="10" t="s">
        <v>299</v>
      </c>
    </row>
    <row r="251" customFormat="false" ht="15" hidden="false" customHeight="false" outlineLevel="0" collapsed="false">
      <c r="B251" s="10" t="s">
        <v>47</v>
      </c>
      <c r="C251" s="17" t="n">
        <v>2024</v>
      </c>
      <c r="D251" s="10" t="s">
        <v>303</v>
      </c>
      <c r="E251" s="63" t="n">
        <v>1722</v>
      </c>
      <c r="F251" s="10" t="s">
        <v>354</v>
      </c>
      <c r="G251" s="10" t="s">
        <v>288</v>
      </c>
      <c r="H251" s="64" t="s">
        <v>301</v>
      </c>
      <c r="I251" s="10" t="s">
        <v>302</v>
      </c>
    </row>
    <row r="252" customFormat="false" ht="15" hidden="false" customHeight="false" outlineLevel="0" collapsed="false">
      <c r="B252" s="10" t="s">
        <v>47</v>
      </c>
      <c r="C252" s="17" t="n">
        <v>2025</v>
      </c>
      <c r="D252" s="10" t="s">
        <v>306</v>
      </c>
      <c r="E252" s="63" t="n">
        <v>1687</v>
      </c>
      <c r="F252" s="10" t="s">
        <v>354</v>
      </c>
      <c r="G252" s="10" t="s">
        <v>288</v>
      </c>
      <c r="H252" s="64" t="s">
        <v>304</v>
      </c>
      <c r="I252" s="10" t="s">
        <v>305</v>
      </c>
    </row>
    <row r="253" customFormat="false" ht="15" hidden="false" customHeight="false" outlineLevel="0" collapsed="false">
      <c r="B253" s="10" t="s">
        <v>47</v>
      </c>
      <c r="C253" s="17" t="n">
        <v>2026</v>
      </c>
      <c r="D253" s="10" t="s">
        <v>307</v>
      </c>
      <c r="E253" s="63" t="n">
        <v>1464</v>
      </c>
      <c r="F253" s="10" t="s">
        <v>354</v>
      </c>
      <c r="G253" s="10" t="s">
        <v>288</v>
      </c>
      <c r="H253" s="64" t="s">
        <v>304</v>
      </c>
      <c r="I253" s="10" t="s">
        <v>305</v>
      </c>
    </row>
    <row r="254" customFormat="false" ht="15" hidden="false" customHeight="false" outlineLevel="0" collapsed="false">
      <c r="B254" s="10" t="s">
        <v>115</v>
      </c>
      <c r="C254" s="17" t="n">
        <v>2019</v>
      </c>
      <c r="D254" s="10" t="s">
        <v>286</v>
      </c>
      <c r="E254" s="63" t="n">
        <v>23717</v>
      </c>
      <c r="F254" s="10" t="s">
        <v>355</v>
      </c>
      <c r="G254" s="10" t="s">
        <v>288</v>
      </c>
      <c r="H254" s="64" t="s">
        <v>310</v>
      </c>
      <c r="I254" s="10" t="s">
        <v>311</v>
      </c>
    </row>
    <row r="255" customFormat="false" ht="15" hidden="false" customHeight="false" outlineLevel="0" collapsed="false">
      <c r="B255" s="10" t="s">
        <v>115</v>
      </c>
      <c r="C255" s="17" t="n">
        <v>2020</v>
      </c>
      <c r="D255" s="10" t="s">
        <v>291</v>
      </c>
      <c r="E255" s="63" t="n">
        <v>31342</v>
      </c>
      <c r="F255" s="10" t="s">
        <v>355</v>
      </c>
      <c r="G255" s="10" t="s">
        <v>288</v>
      </c>
      <c r="H255" s="64" t="s">
        <v>289</v>
      </c>
      <c r="I255" s="10" t="s">
        <v>290</v>
      </c>
    </row>
    <row r="256" customFormat="false" ht="15" hidden="false" customHeight="false" outlineLevel="0" collapsed="false">
      <c r="B256" s="10" t="s">
        <v>115</v>
      </c>
      <c r="C256" s="17" t="n">
        <v>2021</v>
      </c>
      <c r="D256" s="10" t="s">
        <v>294</v>
      </c>
      <c r="E256" s="63" t="n">
        <v>37740</v>
      </c>
      <c r="F256" s="10" t="s">
        <v>355</v>
      </c>
      <c r="G256" s="10" t="s">
        <v>288</v>
      </c>
      <c r="H256" s="64" t="s">
        <v>292</v>
      </c>
      <c r="I256" s="10" t="s">
        <v>293</v>
      </c>
    </row>
    <row r="257" customFormat="false" ht="15" hidden="false" customHeight="false" outlineLevel="0" collapsed="false">
      <c r="B257" s="10" t="s">
        <v>115</v>
      </c>
      <c r="C257" s="17" t="n">
        <v>2022</v>
      </c>
      <c r="D257" s="10" t="s">
        <v>297</v>
      </c>
      <c r="E257" s="63" t="n">
        <v>40321</v>
      </c>
      <c r="F257" s="10" t="s">
        <v>355</v>
      </c>
      <c r="G257" s="10" t="s">
        <v>288</v>
      </c>
      <c r="H257" s="64" t="s">
        <v>295</v>
      </c>
      <c r="I257" s="10" t="s">
        <v>296</v>
      </c>
    </row>
    <row r="258" customFormat="false" ht="15" hidden="false" customHeight="false" outlineLevel="0" collapsed="false">
      <c r="B258" s="10" t="s">
        <v>115</v>
      </c>
      <c r="C258" s="17" t="n">
        <v>2023</v>
      </c>
      <c r="D258" s="10" t="s">
        <v>300</v>
      </c>
      <c r="E258" s="63" t="n">
        <v>37531</v>
      </c>
      <c r="F258" s="10" t="s">
        <v>355</v>
      </c>
      <c r="G258" s="10" t="s">
        <v>288</v>
      </c>
      <c r="H258" s="64" t="s">
        <v>298</v>
      </c>
      <c r="I258" s="10" t="s">
        <v>299</v>
      </c>
    </row>
    <row r="259" customFormat="false" ht="15" hidden="false" customHeight="false" outlineLevel="0" collapsed="false">
      <c r="B259" s="10" t="s">
        <v>115</v>
      </c>
      <c r="C259" s="17" t="n">
        <v>2024</v>
      </c>
      <c r="D259" s="10" t="s">
        <v>303</v>
      </c>
      <c r="E259" s="63" t="n">
        <v>38110</v>
      </c>
      <c r="F259" s="10" t="s">
        <v>355</v>
      </c>
      <c r="G259" s="10" t="s">
        <v>288</v>
      </c>
      <c r="H259" s="64" t="s">
        <v>301</v>
      </c>
      <c r="I259" s="10" t="s">
        <v>302</v>
      </c>
    </row>
    <row r="260" customFormat="false" ht="15" hidden="false" customHeight="false" outlineLevel="0" collapsed="false">
      <c r="B260" s="10" t="s">
        <v>115</v>
      </c>
      <c r="C260" s="17" t="n">
        <v>2025</v>
      </c>
      <c r="D260" s="10" t="s">
        <v>306</v>
      </c>
      <c r="E260" s="63" t="n">
        <v>36579</v>
      </c>
      <c r="F260" s="10" t="s">
        <v>355</v>
      </c>
      <c r="G260" s="10" t="s">
        <v>288</v>
      </c>
      <c r="H260" s="64" t="s">
        <v>304</v>
      </c>
      <c r="I260" s="10" t="s">
        <v>305</v>
      </c>
    </row>
    <row r="261" customFormat="false" ht="15" hidden="false" customHeight="false" outlineLevel="0" collapsed="false">
      <c r="B261" s="10" t="s">
        <v>115</v>
      </c>
      <c r="C261" s="17" t="n">
        <v>2026</v>
      </c>
      <c r="D261" s="10" t="s">
        <v>307</v>
      </c>
      <c r="E261" s="63" t="n">
        <v>38410</v>
      </c>
      <c r="F261" s="10" t="s">
        <v>355</v>
      </c>
      <c r="G261" s="10" t="s">
        <v>288</v>
      </c>
      <c r="H261" s="64" t="s">
        <v>304</v>
      </c>
      <c r="I261" s="10" t="s">
        <v>305</v>
      </c>
    </row>
  </sheetData>
  <hyperlinks>
    <hyperlink ref="H5" r:id="rId1" display="0000320187-21-000028"/>
    <hyperlink ref="H6" r:id="rId2" display="0000320187-22-000038"/>
    <hyperlink ref="H7" r:id="rId3" display="0000320187-23-000039"/>
    <hyperlink ref="H8" r:id="rId4" display="0000320187-24-000044"/>
    <hyperlink ref="H9" r:id="rId5" display="0000320187-25-000047"/>
    <hyperlink ref="H10" r:id="rId6" display="0000320187-26-000088"/>
    <hyperlink ref="H11" r:id="rId7" display="0000320187-26-000088"/>
    <hyperlink ref="H12" r:id="rId8" display="0000320187-26-000088"/>
    <hyperlink ref="H13" r:id="rId9" display="0000320187-21-000028"/>
    <hyperlink ref="H14" r:id="rId10" display="0000320187-22-000038"/>
    <hyperlink ref="H15" r:id="rId11" display="0000320187-23-000039"/>
    <hyperlink ref="H16" r:id="rId12" display="0000320187-24-000044"/>
    <hyperlink ref="H17" r:id="rId13" display="0000320187-25-000047"/>
    <hyperlink ref="H18" r:id="rId14" display="0000320187-26-000088"/>
    <hyperlink ref="H19" r:id="rId15" display="0000320187-26-000088"/>
    <hyperlink ref="H20" r:id="rId16" display="0000320187-26-000088"/>
    <hyperlink ref="H21" r:id="rId17" display="0000320187-20-000047"/>
    <hyperlink ref="H22" r:id="rId18" display="0000320187-21-000028"/>
    <hyperlink ref="H23" r:id="rId19" display="0000320187-22-000038"/>
    <hyperlink ref="H24" r:id="rId20" display="0000320187-23-000039"/>
    <hyperlink ref="H25" r:id="rId21" display="0000320187-24-000044"/>
    <hyperlink ref="H26" r:id="rId22" display="0000320187-25-000047"/>
    <hyperlink ref="H27" r:id="rId23" display="0000320187-26-000088"/>
    <hyperlink ref="H28" r:id="rId24" display="0000320187-26-000088"/>
    <hyperlink ref="H29" r:id="rId25" display="0000320187-21-000028"/>
    <hyperlink ref="H30" r:id="rId26" display="0000320187-22-000038"/>
    <hyperlink ref="H31" r:id="rId27" display="0000320187-23-000039"/>
    <hyperlink ref="H32" r:id="rId28" display="0000320187-24-000044"/>
    <hyperlink ref="H33" r:id="rId29" display="0000320187-25-000047"/>
    <hyperlink ref="H34" r:id="rId30" display="0000320187-26-000088"/>
    <hyperlink ref="H35" r:id="rId31" display="0000320187-26-000088"/>
    <hyperlink ref="H36" r:id="rId32" display="0000320187-26-000088"/>
    <hyperlink ref="H37" r:id="rId33" display="0000320187-21-000028"/>
    <hyperlink ref="H38" r:id="rId34" display="0000320187-22-000038"/>
    <hyperlink ref="H39" r:id="rId35" display="0000320187-23-000039"/>
    <hyperlink ref="H40" r:id="rId36" display="0000320187-24-000044"/>
    <hyperlink ref="H41" r:id="rId37" display="0000320187-25-000047"/>
    <hyperlink ref="H42" r:id="rId38" display="0000320187-26-000088"/>
    <hyperlink ref="H43" r:id="rId39" display="0000320187-26-000088"/>
    <hyperlink ref="H44" r:id="rId40" display="0000320187-26-000088"/>
    <hyperlink ref="H45" r:id="rId41" display="0000320187-20-000047"/>
    <hyperlink ref="H46" r:id="rId42" display="0000320187-21-000028"/>
    <hyperlink ref="H47" r:id="rId43" display="0000320187-22-000038"/>
    <hyperlink ref="H48" r:id="rId44" display="0000320187-23-000039"/>
    <hyperlink ref="H49" r:id="rId45" display="0000320187-24-000044"/>
    <hyperlink ref="H50" r:id="rId46" display="0000320187-25-000047"/>
    <hyperlink ref="H51" r:id="rId47" display="0000320187-26-000088"/>
    <hyperlink ref="H52" r:id="rId48" display="0000320187-26-000088"/>
    <hyperlink ref="H53" r:id="rId49" display="0000320187-20-000047"/>
    <hyperlink ref="H54" r:id="rId50" display="0000320187-21-000028"/>
    <hyperlink ref="H55" r:id="rId51" display="0000320187-22-000038"/>
    <hyperlink ref="H56" r:id="rId52" display="0000320187-23-000039"/>
    <hyperlink ref="H57" r:id="rId53" display="0000320187-24-000044"/>
    <hyperlink ref="H58" r:id="rId54" display="0000320187-25-000047"/>
    <hyperlink ref="H59" r:id="rId55" display="0000320187-26-000088"/>
    <hyperlink ref="H60" r:id="rId56" display="0000320187-26-000088"/>
    <hyperlink ref="H61" r:id="rId57" display="0000320187-25-000047"/>
    <hyperlink ref="H62" r:id="rId58" display="0000320187-26-000088"/>
    <hyperlink ref="H63" r:id="rId59" display="0000320187-26-000088"/>
    <hyperlink ref="H64" r:id="rId60" display="0000320187-26-000088"/>
    <hyperlink ref="H65" r:id="rId61" display="0000320187-21-000028"/>
    <hyperlink ref="H66" r:id="rId62" display="0000320187-22-000038"/>
    <hyperlink ref="H67" r:id="rId63" display="0000320187-23-000039"/>
    <hyperlink ref="H68" r:id="rId64" display="0000320187-24-000044"/>
    <hyperlink ref="H69" r:id="rId65" display="0000320187-24-000044"/>
    <hyperlink ref="H70" r:id="rId66" display="0000320187-24-000044"/>
    <hyperlink ref="H71" r:id="rId67" display="0000320187-21-000028"/>
    <hyperlink ref="H72" r:id="rId68" display="0000320187-22-000038"/>
    <hyperlink ref="H73" r:id="rId69" display="0000320187-23-000039"/>
    <hyperlink ref="H74" r:id="rId70" display="0000320187-24-000044"/>
    <hyperlink ref="H75" r:id="rId71" display="0000320187-25-000047"/>
    <hyperlink ref="H76" r:id="rId72" display="0000320187-26-000088"/>
    <hyperlink ref="H77" r:id="rId73" display="0000320187-26-000088"/>
    <hyperlink ref="H78" r:id="rId74" display="0000320187-26-000088"/>
    <hyperlink ref="H79" r:id="rId75" display="0000320187-21-000028"/>
    <hyperlink ref="H80" r:id="rId76" display="0000320187-22-000038"/>
    <hyperlink ref="H81" r:id="rId77" display="0000320187-23-000039"/>
    <hyperlink ref="H82" r:id="rId78" display="0000320187-24-000044"/>
    <hyperlink ref="H83" r:id="rId79" display="0000320187-25-000047"/>
    <hyperlink ref="H84" r:id="rId80" display="0000320187-26-000088"/>
    <hyperlink ref="H85" r:id="rId81" display="0000320187-26-000088"/>
    <hyperlink ref="H86" r:id="rId82" display="0000320187-26-000088"/>
    <hyperlink ref="H87" r:id="rId83" display="0000320187-21-000028"/>
    <hyperlink ref="H88" r:id="rId84" display="0000320187-22-000038"/>
    <hyperlink ref="H89" r:id="rId85" display="0000320187-23-000039"/>
    <hyperlink ref="H90" r:id="rId86" display="0000320187-24-000044"/>
    <hyperlink ref="H91" r:id="rId87" display="0000320187-25-000047"/>
    <hyperlink ref="H92" r:id="rId88" display="0000320187-26-000088"/>
    <hyperlink ref="H93" r:id="rId89" display="0000320187-26-000088"/>
    <hyperlink ref="H94" r:id="rId90" display="0000320187-26-000088"/>
    <hyperlink ref="H95" r:id="rId91" display="0000320187-22-000038"/>
    <hyperlink ref="H96" r:id="rId92" display="0000320187-23-000039"/>
    <hyperlink ref="H97" r:id="rId93" display="0000320187-24-000044"/>
    <hyperlink ref="H98" r:id="rId94" display="0000320187-25-000047"/>
    <hyperlink ref="H99" r:id="rId95" display="0000320187-26-000088"/>
    <hyperlink ref="H100" r:id="rId96" display="0000320187-26-000088"/>
    <hyperlink ref="H101" r:id="rId97" display="0000320187-26-000088"/>
    <hyperlink ref="H102" r:id="rId98" display="0000320187-26-000088"/>
    <hyperlink ref="H103" r:id="rId99" display="0000320187-20-000047"/>
    <hyperlink ref="H104" r:id="rId100" display="0000320187-21-000028"/>
    <hyperlink ref="H105" r:id="rId101" display="0000320187-22-000038"/>
    <hyperlink ref="H106" r:id="rId102" display="0000320187-23-000039"/>
    <hyperlink ref="H107" r:id="rId103" display="0000320187-24-000044"/>
    <hyperlink ref="H108" r:id="rId104" display="0000320187-25-000047"/>
    <hyperlink ref="H109" r:id="rId105" display="0000320187-26-000088"/>
    <hyperlink ref="H110" r:id="rId106" display="0000320187-26-000088"/>
    <hyperlink ref="H111" r:id="rId107" display="0000320187-21-000028"/>
    <hyperlink ref="H112" r:id="rId108" display="0000320187-22-000038"/>
    <hyperlink ref="H113" r:id="rId109" display="0000320187-23-000039"/>
    <hyperlink ref="H114" r:id="rId110" display="0000320187-24-000044"/>
    <hyperlink ref="H115" r:id="rId111" display="0000320187-25-000047"/>
    <hyperlink ref="H116" r:id="rId112" display="0000320187-26-000088"/>
    <hyperlink ref="H117" r:id="rId113" display="0000320187-26-000088"/>
    <hyperlink ref="H118" r:id="rId114" display="0000320187-26-000088"/>
    <hyperlink ref="H119" r:id="rId115" display="0000320187-21-000028"/>
    <hyperlink ref="H120" r:id="rId116" display="0000320187-22-000038"/>
    <hyperlink ref="H121" r:id="rId117" display="0000320187-23-000039"/>
    <hyperlink ref="H122" r:id="rId118" display="0000320187-24-000044"/>
    <hyperlink ref="H123" r:id="rId119" display="0000320187-25-000047"/>
    <hyperlink ref="H124" r:id="rId120" display="0000320187-26-000088"/>
    <hyperlink ref="H125" r:id="rId121" display="0000320187-26-000088"/>
    <hyperlink ref="H126" r:id="rId122" display="0000320187-26-000088"/>
    <hyperlink ref="H127" r:id="rId123" display="0000320187-21-000028"/>
    <hyperlink ref="H128" r:id="rId124" display="0000320187-22-000038"/>
    <hyperlink ref="H129" r:id="rId125" display="0000320187-23-000039"/>
    <hyperlink ref="H130" r:id="rId126" display="0000320187-24-000044"/>
    <hyperlink ref="H131" r:id="rId127" display="0000320187-25-000047"/>
    <hyperlink ref="H132" r:id="rId128" display="0000320187-26-000088"/>
    <hyperlink ref="H133" r:id="rId129" display="0000320187-26-000088"/>
    <hyperlink ref="H134" r:id="rId130" display="0000320187-26-000088"/>
    <hyperlink ref="H135" r:id="rId131" display="0000320187-20-000047"/>
    <hyperlink ref="H136" r:id="rId132" display="0000320187-21-000028"/>
    <hyperlink ref="H137" r:id="rId133" display="0000320187-22-000038"/>
    <hyperlink ref="H138" r:id="rId134" display="0000320187-23-000039"/>
    <hyperlink ref="H139" r:id="rId135" display="0000320187-25-000047"/>
    <hyperlink ref="H140" r:id="rId136" display="0000320187-26-000088"/>
    <hyperlink ref="H141" r:id="rId137" display="0000320187-26-000088"/>
    <hyperlink ref="H142" r:id="rId138" display="0000320187-26-000088"/>
    <hyperlink ref="H143" r:id="rId139" display="0000320187-20-000047"/>
    <hyperlink ref="H144" r:id="rId140" display="0000320187-21-000028"/>
    <hyperlink ref="H145" r:id="rId141" display="0000320187-22-000038"/>
    <hyperlink ref="H146" r:id="rId142" display="0000320187-23-000039"/>
    <hyperlink ref="H147" r:id="rId143" display="0000320187-24-000044"/>
    <hyperlink ref="H148" r:id="rId144" display="0000320187-25-000047"/>
    <hyperlink ref="H149" r:id="rId145" display="0000320187-26-000088"/>
    <hyperlink ref="H150" r:id="rId146" display="0000320187-26-000088"/>
    <hyperlink ref="H151" r:id="rId147" display="0000320187-20-000047"/>
    <hyperlink ref="H152" r:id="rId148" display="0000320187-21-000028"/>
    <hyperlink ref="H153" r:id="rId149" display="0000320187-22-000038"/>
    <hyperlink ref="H154" r:id="rId150" display="0000320187-23-000039"/>
    <hyperlink ref="H155" r:id="rId151" display="0000320187-24-000044"/>
    <hyperlink ref="H156" r:id="rId152" display="0000320187-25-000047"/>
    <hyperlink ref="H157" r:id="rId153" display="0000320187-26-000088"/>
    <hyperlink ref="H158" r:id="rId154" display="0000320187-26-000088"/>
    <hyperlink ref="H159" r:id="rId155" display="0000320187-20-000047"/>
    <hyperlink ref="H160" r:id="rId156" display="0000320187-21-000028"/>
    <hyperlink ref="H161" r:id="rId157" display="0000320187-22-000038"/>
    <hyperlink ref="H162" r:id="rId158" display="0000320187-23-000039"/>
    <hyperlink ref="H163" r:id="rId159" display="0000320187-24-000044"/>
    <hyperlink ref="H164" r:id="rId160" display="0000320187-25-000047"/>
    <hyperlink ref="H165" r:id="rId161" display="0000320187-26-000088"/>
    <hyperlink ref="H166" r:id="rId162" display="0000320187-26-000088"/>
    <hyperlink ref="H167" r:id="rId163" display="0000320187-21-000028"/>
    <hyperlink ref="H168" r:id="rId164" display="0000320187-22-000038"/>
    <hyperlink ref="H169" r:id="rId165" display="0000320187-23-000039"/>
    <hyperlink ref="H170" r:id="rId166" display="0000320187-24-000044"/>
    <hyperlink ref="H171" r:id="rId167" display="0000320187-25-000047"/>
    <hyperlink ref="H172" r:id="rId168" display="0000320187-26-000088"/>
    <hyperlink ref="H173" r:id="rId169" display="0000320187-26-000088"/>
    <hyperlink ref="H174" r:id="rId170" display="0000320187-26-000088"/>
    <hyperlink ref="H183" r:id="rId171" display="0000320187-20-000047"/>
    <hyperlink ref="H184" r:id="rId172" display="0000320187-21-000028"/>
    <hyperlink ref="H185" r:id="rId173" display="0000320187-22-000038"/>
    <hyperlink ref="H186" r:id="rId174" display="0000320187-23-000039"/>
    <hyperlink ref="H187" r:id="rId175" display="0000320187-24-000044"/>
    <hyperlink ref="H188" r:id="rId176" display="0000320187-25-000047"/>
    <hyperlink ref="H189" r:id="rId177" display="0000320187-26-000088"/>
    <hyperlink ref="H190" r:id="rId178" display="0000320187-26-000088"/>
    <hyperlink ref="H191" r:id="rId179" display="0000320187-20-000047"/>
    <hyperlink ref="H192" r:id="rId180" display="0000320187-21-000028"/>
    <hyperlink ref="H193" r:id="rId181" display="0000320187-22-000038"/>
    <hyperlink ref="H194" r:id="rId182" display="0000320187-23-000039"/>
    <hyperlink ref="H195" r:id="rId183" display="0000320187-24-000044"/>
    <hyperlink ref="H196" r:id="rId184" display="0000320187-25-000047"/>
    <hyperlink ref="H197" r:id="rId185" display="0000320187-26-000088"/>
    <hyperlink ref="H198" r:id="rId186" display="0000320187-26-000088"/>
    <hyperlink ref="H199" r:id="rId187" display="0000320187-21-000028"/>
    <hyperlink ref="H200" r:id="rId188" display="0000320187-22-000038"/>
    <hyperlink ref="H201" r:id="rId189" display="0000320187-23-000039"/>
    <hyperlink ref="H202" r:id="rId190" display="0000320187-24-000044"/>
    <hyperlink ref="H203" r:id="rId191" display="0000320187-25-000047"/>
    <hyperlink ref="H204" r:id="rId192" display="0000320187-26-000088"/>
    <hyperlink ref="H205" r:id="rId193" display="0000320187-26-000088"/>
    <hyperlink ref="H206" r:id="rId194" display="0000320187-26-000088"/>
    <hyperlink ref="H207" r:id="rId195" display="0000320187-20-000047"/>
    <hyperlink ref="H208" r:id="rId196" display="0000320187-21-000028"/>
    <hyperlink ref="H209" r:id="rId197" display="0000320187-22-000038"/>
    <hyperlink ref="H210" r:id="rId198" display="0000320187-23-000039"/>
    <hyperlink ref="H211" r:id="rId199" display="0000320187-24-000044"/>
    <hyperlink ref="H212" r:id="rId200" display="0000320187-25-000047"/>
    <hyperlink ref="H213" r:id="rId201" display="0000320187-26-000088"/>
    <hyperlink ref="H214" r:id="rId202" display="0000320187-26-000088"/>
    <hyperlink ref="H215" r:id="rId203" display="0000320187-21-000028"/>
    <hyperlink ref="H216" r:id="rId204" display="0000320187-22-000038"/>
    <hyperlink ref="H217" r:id="rId205" display="0000320187-23-000039"/>
    <hyperlink ref="H218" r:id="rId206" display="0000320187-24-000044"/>
    <hyperlink ref="H219" r:id="rId207" display="0000320187-25-000047"/>
    <hyperlink ref="H220" r:id="rId208" display="0000320187-26-000088"/>
    <hyperlink ref="H221" r:id="rId209" display="0000320187-26-000088"/>
    <hyperlink ref="H222" r:id="rId210" display="0000320187-26-000088"/>
    <hyperlink ref="H223" r:id="rId211" display="0000320187-21-000028"/>
    <hyperlink ref="H224" r:id="rId212" display="0000320187-22-000038"/>
    <hyperlink ref="H225" r:id="rId213" display="0000320187-23-000039"/>
    <hyperlink ref="H226" r:id="rId214" display="0000320187-24-000044"/>
    <hyperlink ref="H227" r:id="rId215" display="0000320187-25-000047"/>
    <hyperlink ref="H228" r:id="rId216" display="0000320187-26-000088"/>
    <hyperlink ref="H229" r:id="rId217" display="0000320187-26-000088"/>
    <hyperlink ref="H230" r:id="rId218" display="0000320187-26-000088"/>
    <hyperlink ref="H231" r:id="rId219" display="0000320187-21-000028"/>
    <hyperlink ref="H232" r:id="rId220" display="0000320187-22-000038"/>
    <hyperlink ref="H233" r:id="rId221" display="0000320187-23-000039"/>
    <hyperlink ref="H234" r:id="rId222" display="0000320187-24-000044"/>
    <hyperlink ref="H235" r:id="rId223" display="0000320187-25-000047"/>
    <hyperlink ref="H236" r:id="rId224" display="0000320187-26-000088"/>
    <hyperlink ref="H237" r:id="rId225" display="0000320187-26-000088"/>
    <hyperlink ref="H238" r:id="rId226" display="0000320187-26-000088"/>
    <hyperlink ref="H239" r:id="rId227" display="0000320187-20-000047"/>
    <hyperlink ref="H240" r:id="rId228" display="0000320187-21-000028"/>
    <hyperlink ref="H241" r:id="rId229" display="0000320187-22-000038"/>
    <hyperlink ref="H242" r:id="rId230" display="0000320187-23-000039"/>
    <hyperlink ref="H243" r:id="rId231" display="0000320187-24-000044"/>
    <hyperlink ref="H244" r:id="rId232" display="0000320187-25-000047"/>
    <hyperlink ref="H245" r:id="rId233" display="0000320187-25-000047"/>
    <hyperlink ref="H246" r:id="rId234" display="0000320187-20-000047"/>
    <hyperlink ref="H247" r:id="rId235" display="0000320187-21-000028"/>
    <hyperlink ref="H248" r:id="rId236" display="0000320187-21-000028"/>
    <hyperlink ref="H249" r:id="rId237" display="0000320187-23-000039"/>
    <hyperlink ref="H250" r:id="rId238" display="0000320187-24-000044"/>
    <hyperlink ref="H251" r:id="rId239" display="0000320187-25-000047"/>
    <hyperlink ref="H252" r:id="rId240" display="0000320187-26-000088"/>
    <hyperlink ref="H253" r:id="rId241" display="0000320187-26-000088"/>
    <hyperlink ref="H254" r:id="rId242" display="0000320187-20-000047"/>
    <hyperlink ref="H255" r:id="rId243" display="0000320187-21-000028"/>
    <hyperlink ref="H256" r:id="rId244" display="0000320187-22-000038"/>
    <hyperlink ref="H257" r:id="rId245" display="0000320187-23-000039"/>
    <hyperlink ref="H258" r:id="rId246" display="0000320187-24-000044"/>
    <hyperlink ref="H259" r:id="rId247" display="0000320187-25-000047"/>
    <hyperlink ref="H260" r:id="rId248" display="0000320187-26-000088"/>
    <hyperlink ref="H261" r:id="rId249" display="0000320187-26-000088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2026-10-05T01:16:41Z</dcterms:created>
  <dc:creator>openpyxl</dc:creator>
  <dc:description/>
  <dc:language>en-US</dc:language>
  <cp:lastModifiedBy/>
  <dcterms:modified xsi:type="dcterms:W3CDTF">2026-10-05T02:17:58Z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
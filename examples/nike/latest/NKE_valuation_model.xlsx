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Benchmark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;(0.0%);&quot;-&quot;"/>
    <numFmt numFmtId="165" formatCode="0.0&quot;x&quot;;(0.0&quot;x&quot;);&quot;-&quot;"/>
    <numFmt numFmtId="166" formatCode="$#,##0.00;($#,##0.00);&quot;-&quot;"/>
    <numFmt numFmtId="167" formatCode="#,##0.0"/>
    <numFmt numFmtId="168" formatCode="#,##0;(#,##0);&quot;-&quot;"/>
    <numFmt numFmtId="169" formatCode="0.0"/>
    <numFmt numFmtId="170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i val="1"/>
      <color rgb="00555555"/>
      <sz val="10"/>
    </font>
    <font>
      <name val="Arial"/>
      <b val="1"/>
      <color rgb="001F2A44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0000FF"/>
      <sz val="10"/>
    </font>
    <font>
      <name val="Arial"/>
      <i val="1"/>
      <color rgb="00999999"/>
      <sz val="10"/>
    </font>
    <font>
      <name val="Arial"/>
      <color rgb="00999999"/>
      <sz val="10"/>
    </font>
    <font>
      <name val="Arial"/>
      <color rgb="000563C1"/>
      <sz val="10"/>
    </font>
    <font>
      <name val="Arial"/>
      <b val="1"/>
      <color rgb="00777777"/>
      <sz val="10"/>
    </font>
    <font>
      <name val="Arial"/>
      <b val="1"/>
      <color rgb="001F2A44"/>
      <sz val="18"/>
    </font>
    <font>
      <name val="Arial"/>
      <i val="1"/>
      <color rgb="00777777"/>
      <sz val="10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2A44"/>
      </patternFill>
    </fill>
    <fill>
      <patternFill patternType="solid">
        <fgColor rgb="00E8ECF4"/>
      </patternFill>
    </fill>
    <fill>
      <patternFill patternType="solid">
        <fgColor rgb="00FFF2CC"/>
      </patternFill>
    </fill>
    <fill>
      <patternFill patternType="solid">
        <fgColor rgb="00F3F4F6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C9CED8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2" fillId="0" borderId="0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16" fillId="0" borderId="0" pivotButton="0" quotePrefix="0" xfId="0"/>
    <xf numFmtId="0" fontId="1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5" fillId="0" borderId="0" pivotButton="0" quotePrefix="0" xfId="0"/>
    <xf numFmtId="164" fontId="5" fillId="2" borderId="0" pivotButton="0" quotePrefix="0" xfId="0"/>
    <xf numFmtId="165" fontId="5" fillId="2" borderId="0" pivotButton="0" quotePrefix="0" xfId="0"/>
    <xf numFmtId="1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6" fillId="0" borderId="0" pivotButton="0" quotePrefix="0" xfId="0"/>
    <xf numFmtId="168" fontId="7" fillId="0" borderId="0" pivotButton="0" quotePrefix="0" xfId="0"/>
    <xf numFmtId="0" fontId="8" fillId="3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168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2" fontId="5" fillId="0" borderId="0" pivotButton="0" quotePrefix="0" xfId="0"/>
    <xf numFmtId="2" fontId="4" fillId="0" borderId="0" pivotButton="0" quotePrefix="0" xfId="0"/>
    <xf numFmtId="2" fontId="9" fillId="0" borderId="0" pivotButton="0" quotePrefix="0" xfId="0"/>
    <xf numFmtId="164" fontId="9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8" fontId="6" fillId="0" borderId="0" pivotButton="0" quotePrefix="0" xfId="0"/>
    <xf numFmtId="168" fontId="9" fillId="0" borderId="0" pivotButton="0" quotePrefix="0" xfId="0"/>
    <xf numFmtId="169" fontId="9" fillId="0" borderId="0" pivotButton="0" quotePrefix="0" xfId="0"/>
    <xf numFmtId="170" fontId="4" fillId="0" borderId="0" pivotButton="0" quotePrefix="0" xfId="0"/>
    <xf numFmtId="167" fontId="9" fillId="0" borderId="0" pivotButton="0" quotePrefix="0" xfId="0"/>
    <xf numFmtId="166" fontId="6" fillId="0" borderId="0" pivotButton="0" quotePrefix="0" xfId="0"/>
    <xf numFmtId="165" fontId="9" fillId="0" borderId="0" pivotButton="0" quotePrefix="0" xfId="0"/>
    <xf numFmtId="165" fontId="5" fillId="0" borderId="0" pivotButton="0" quotePrefix="0" xfId="0"/>
    <xf numFmtId="164" fontId="7" fillId="4" borderId="0" pivotButton="0" quotePrefix="0" xfId="0"/>
    <xf numFmtId="166" fontId="9" fillId="0" borderId="0" pivotButton="0" quotePrefix="0" xfId="0"/>
    <xf numFmtId="165" fontId="7" fillId="4" borderId="0" pivotButton="0" quotePrefix="0" xfId="0"/>
    <xf numFmtId="0" fontId="6" fillId="5" borderId="0" pivotButton="0" quotePrefix="0" xfId="0"/>
    <xf numFmtId="1" fontId="10" fillId="5" borderId="0" pivotButton="0" quotePrefix="0" xfId="0"/>
    <xf numFmtId="166" fontId="10" fillId="5" borderId="0" pivotButton="0" quotePrefix="0" xfId="0"/>
    <xf numFmtId="167" fontId="10" fillId="5" borderId="0" pivotButton="0" quotePrefix="0" xfId="0"/>
    <xf numFmtId="168" fontId="6" fillId="5" borderId="0" pivotButton="0" quotePrefix="0" xfId="0"/>
    <xf numFmtId="168" fontId="10" fillId="5" borderId="0" pivotButton="0" quotePrefix="0" xfId="0"/>
    <xf numFmtId="165" fontId="6" fillId="5" borderId="0" pivotButton="0" quotePrefix="0" xfId="0"/>
    <xf numFmtId="164" fontId="10" fillId="5" borderId="0" pivotButton="0" quotePrefix="0" xfId="0"/>
    <xf numFmtId="165" fontId="6" fillId="6" borderId="0" pivotButton="0" quotePrefix="0" xfId="0"/>
    <xf numFmtId="164" fontId="6" fillId="6" borderId="0" pivotButton="0" quotePrefix="0" xfId="0"/>
    <xf numFmtId="166" fontId="4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6" fontId="12" fillId="0" borderId="0" pivotButton="0" quotePrefix="0" xfId="0"/>
    <xf numFmtId="166" fontId="6" fillId="5" borderId="0" pivotButton="0" quotePrefix="0" xfId="0"/>
    <xf numFmtId="0" fontId="7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4" fontId="5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Valuation football field ($ per share)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'Valuation'!H5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'Valuation'!$G$6:$G$11</f>
            </numRef>
          </cat>
          <val>
            <numRef>
              <f>'Valuation'!$H$6:$H$11</f>
            </numRef>
          </val>
        </ser>
        <ser>
          <idx val="1"/>
          <order val="1"/>
          <tx>
            <strRef>
              <f>'Valuation'!I5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'Valuation'!$G$6:$G$11</f>
            </numRef>
          </cat>
          <val>
            <numRef>
              <f>'Valuation'!$I$6:$I$11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ec.gov/Archives/edgar/data/320187/000032018721000028/0000320187-21-000028-index.htm" TargetMode="External" Id="rId1"/><Relationship Type="http://schemas.openxmlformats.org/officeDocument/2006/relationships/hyperlink" Target="https://www.sec.gov/Archives/edgar/data/320187/000032018722000038/0000320187-22-000038-index.htm" TargetMode="External" Id="rId2"/><Relationship Type="http://schemas.openxmlformats.org/officeDocument/2006/relationships/hyperlink" Target="https://www.sec.gov/Archives/edgar/data/320187/000032018723000039/0000320187-23-000039-index.htm" TargetMode="External" Id="rId3"/><Relationship Type="http://schemas.openxmlformats.org/officeDocument/2006/relationships/hyperlink" Target="https://www.sec.gov/Archives/edgar/data/320187/000032018724000044/0000320187-24-000044-index.htm" TargetMode="External" Id="rId4"/><Relationship Type="http://schemas.openxmlformats.org/officeDocument/2006/relationships/hyperlink" Target="https://www.sec.gov/Archives/edgar/data/320187/000032018725000047/0000320187-25-000047-index.htm" TargetMode="External" Id="rId5"/><Relationship Type="http://schemas.openxmlformats.org/officeDocument/2006/relationships/hyperlink" Target="https://www.sec.gov/Archives/edgar/data/320187/000032018726000088/0000320187-26-000088-index.htm" TargetMode="External" Id="rId6"/><Relationship Type="http://schemas.openxmlformats.org/officeDocument/2006/relationships/hyperlink" Target="https://www.sec.gov/Archives/edgar/data/320187/000032018726000088/0000320187-26-000088-index.htm" TargetMode="External" Id="rId7"/><Relationship Type="http://schemas.openxmlformats.org/officeDocument/2006/relationships/hyperlink" Target="https://www.sec.gov/Archives/edgar/data/320187/000032018726000088/0000320187-26-000088-index.htm" TargetMode="External" Id="rId8"/><Relationship Type="http://schemas.openxmlformats.org/officeDocument/2006/relationships/hyperlink" Target="https://www.sec.gov/Archives/edgar/data/320187/000032018721000028/0000320187-21-000028-index.htm" TargetMode="External" Id="rId9"/><Relationship Type="http://schemas.openxmlformats.org/officeDocument/2006/relationships/hyperlink" Target="https://www.sec.gov/Archives/edgar/data/320187/000032018722000038/0000320187-22-000038-index.htm" TargetMode="External" Id="rId10"/><Relationship Type="http://schemas.openxmlformats.org/officeDocument/2006/relationships/hyperlink" Target="https://www.sec.gov/Archives/edgar/data/320187/000032018723000039/0000320187-23-000039-index.htm" TargetMode="External" Id="rId11"/><Relationship Type="http://schemas.openxmlformats.org/officeDocument/2006/relationships/hyperlink" Target="https://www.sec.gov/Archives/edgar/data/320187/000032018724000044/0000320187-24-000044-index.htm" TargetMode="External" Id="rId12"/><Relationship Type="http://schemas.openxmlformats.org/officeDocument/2006/relationships/hyperlink" Target="https://www.sec.gov/Archives/edgar/data/320187/000032018725000047/0000320187-25-000047-index.htm" TargetMode="External" Id="rId13"/><Relationship Type="http://schemas.openxmlformats.org/officeDocument/2006/relationships/hyperlink" Target="https://www.sec.gov/Archives/edgar/data/320187/000032018726000088/0000320187-26-000088-index.htm" TargetMode="External" Id="rId14"/><Relationship Type="http://schemas.openxmlformats.org/officeDocument/2006/relationships/hyperlink" Target="https://www.sec.gov/Archives/edgar/data/320187/000032018726000088/0000320187-26-000088-index.htm" TargetMode="External" Id="rId15"/><Relationship Type="http://schemas.openxmlformats.org/officeDocument/2006/relationships/hyperlink" Target="https://www.sec.gov/Archives/edgar/data/320187/000032018726000088/0000320187-26-000088-index.htm" TargetMode="External" Id="rId16"/><Relationship Type="http://schemas.openxmlformats.org/officeDocument/2006/relationships/hyperlink" Target="https://www.sec.gov/Archives/edgar/data/320187/000032018720000047/0000320187-20-000047-index.htm" TargetMode="External" Id="rId17"/><Relationship Type="http://schemas.openxmlformats.org/officeDocument/2006/relationships/hyperlink" Target="https://www.sec.gov/Archives/edgar/data/320187/000032018721000028/0000320187-21-000028-index.htm" TargetMode="External" Id="rId18"/><Relationship Type="http://schemas.openxmlformats.org/officeDocument/2006/relationships/hyperlink" Target="https://www.sec.gov/Archives/edgar/data/320187/000032018722000038/0000320187-22-000038-index.htm" TargetMode="External" Id="rId19"/><Relationship Type="http://schemas.openxmlformats.org/officeDocument/2006/relationships/hyperlink" Target="https://www.sec.gov/Archives/edgar/data/320187/000032018723000039/0000320187-23-000039-index.htm" TargetMode="External" Id="rId20"/><Relationship Type="http://schemas.openxmlformats.org/officeDocument/2006/relationships/hyperlink" Target="https://www.sec.gov/Archives/edgar/data/320187/000032018724000044/0000320187-24-000044-index.htm" TargetMode="External" Id="rId21"/><Relationship Type="http://schemas.openxmlformats.org/officeDocument/2006/relationships/hyperlink" Target="https://www.sec.gov/Archives/edgar/data/320187/000032018725000047/0000320187-25-000047-index.htm" TargetMode="External" Id="rId22"/><Relationship Type="http://schemas.openxmlformats.org/officeDocument/2006/relationships/hyperlink" Target="https://www.sec.gov/Archives/edgar/data/320187/000032018726000088/0000320187-26-000088-index.htm" TargetMode="External" Id="rId23"/><Relationship Type="http://schemas.openxmlformats.org/officeDocument/2006/relationships/hyperlink" Target="https://www.sec.gov/Archives/edgar/data/320187/000032018726000088/0000320187-26-000088-index.htm" TargetMode="External" Id="rId24"/><Relationship Type="http://schemas.openxmlformats.org/officeDocument/2006/relationships/hyperlink" Target="https://www.sec.gov/Archives/edgar/data/320187/000032018721000028/0000320187-21-000028-index.htm" TargetMode="External" Id="rId25"/><Relationship Type="http://schemas.openxmlformats.org/officeDocument/2006/relationships/hyperlink" Target="https://www.sec.gov/Archives/edgar/data/320187/000032018722000038/0000320187-22-000038-index.htm" TargetMode="External" Id="rId26"/><Relationship Type="http://schemas.openxmlformats.org/officeDocument/2006/relationships/hyperlink" Target="https://www.sec.gov/Archives/edgar/data/320187/000032018723000039/0000320187-23-000039-index.htm" TargetMode="External" Id="rId27"/><Relationship Type="http://schemas.openxmlformats.org/officeDocument/2006/relationships/hyperlink" Target="https://www.sec.gov/Archives/edgar/data/320187/000032018724000044/0000320187-24-000044-index.htm" TargetMode="External" Id="rId28"/><Relationship Type="http://schemas.openxmlformats.org/officeDocument/2006/relationships/hyperlink" Target="https://www.sec.gov/Archives/edgar/data/320187/000032018725000047/0000320187-25-000047-index.htm" TargetMode="External" Id="rId29"/><Relationship Type="http://schemas.openxmlformats.org/officeDocument/2006/relationships/hyperlink" Target="https://www.sec.gov/Archives/edgar/data/320187/000032018726000088/0000320187-26-000088-index.htm" TargetMode="External" Id="rId30"/><Relationship Type="http://schemas.openxmlformats.org/officeDocument/2006/relationships/hyperlink" Target="https://www.sec.gov/Archives/edgar/data/320187/000032018726000088/0000320187-26-000088-index.htm" TargetMode="External" Id="rId31"/><Relationship Type="http://schemas.openxmlformats.org/officeDocument/2006/relationships/hyperlink" Target="https://www.sec.gov/Archives/edgar/data/320187/000032018726000088/0000320187-26-000088-index.htm" TargetMode="External" Id="rId32"/><Relationship Type="http://schemas.openxmlformats.org/officeDocument/2006/relationships/hyperlink" Target="https://www.sec.gov/Archives/edgar/data/320187/000032018721000028/0000320187-21-000028-index.htm" TargetMode="External" Id="rId33"/><Relationship Type="http://schemas.openxmlformats.org/officeDocument/2006/relationships/hyperlink" Target="https://www.sec.gov/Archives/edgar/data/320187/000032018722000038/0000320187-22-000038-index.htm" TargetMode="External" Id="rId34"/><Relationship Type="http://schemas.openxmlformats.org/officeDocument/2006/relationships/hyperlink" Target="https://www.sec.gov/Archives/edgar/data/320187/000032018723000039/0000320187-23-000039-index.htm" TargetMode="External" Id="rId35"/><Relationship Type="http://schemas.openxmlformats.org/officeDocument/2006/relationships/hyperlink" Target="https://www.sec.gov/Archives/edgar/data/320187/000032018724000044/0000320187-24-000044-index.htm" TargetMode="External" Id="rId36"/><Relationship Type="http://schemas.openxmlformats.org/officeDocument/2006/relationships/hyperlink" Target="https://www.sec.gov/Archives/edgar/data/320187/000032018725000047/0000320187-25-000047-index.htm" TargetMode="External" Id="rId37"/><Relationship Type="http://schemas.openxmlformats.org/officeDocument/2006/relationships/hyperlink" Target="https://www.sec.gov/Archives/edgar/data/320187/000032018726000088/0000320187-26-000088-index.htm" TargetMode="External" Id="rId38"/><Relationship Type="http://schemas.openxmlformats.org/officeDocument/2006/relationships/hyperlink" Target="https://www.sec.gov/Archives/edgar/data/320187/000032018726000088/0000320187-26-000088-index.htm" TargetMode="External" Id="rId39"/><Relationship Type="http://schemas.openxmlformats.org/officeDocument/2006/relationships/hyperlink" Target="https://www.sec.gov/Archives/edgar/data/320187/000032018726000088/0000320187-26-000088-index.htm" TargetMode="External" Id="rId40"/><Relationship Type="http://schemas.openxmlformats.org/officeDocument/2006/relationships/hyperlink" Target="https://www.sec.gov/Archives/edgar/data/320187/000032018720000047/0000320187-20-000047-index.htm" TargetMode="External" Id="rId41"/><Relationship Type="http://schemas.openxmlformats.org/officeDocument/2006/relationships/hyperlink" Target="https://www.sec.gov/Archives/edgar/data/320187/000032018721000028/0000320187-21-000028-index.htm" TargetMode="External" Id="rId42"/><Relationship Type="http://schemas.openxmlformats.org/officeDocument/2006/relationships/hyperlink" Target="https://www.sec.gov/Archives/edgar/data/320187/000032018722000038/0000320187-22-000038-index.htm" TargetMode="External" Id="rId43"/><Relationship Type="http://schemas.openxmlformats.org/officeDocument/2006/relationships/hyperlink" Target="https://www.sec.gov/Archives/edgar/data/320187/000032018723000039/0000320187-23-000039-index.htm" TargetMode="External" Id="rId44"/><Relationship Type="http://schemas.openxmlformats.org/officeDocument/2006/relationships/hyperlink" Target="https://www.sec.gov/Archives/edgar/data/320187/000032018724000044/0000320187-24-000044-index.htm" TargetMode="External" Id="rId45"/><Relationship Type="http://schemas.openxmlformats.org/officeDocument/2006/relationships/hyperlink" Target="https://www.sec.gov/Archives/edgar/data/320187/000032018725000047/0000320187-25-000047-index.htm" TargetMode="External" Id="rId46"/><Relationship Type="http://schemas.openxmlformats.org/officeDocument/2006/relationships/hyperlink" Target="https://www.sec.gov/Archives/edgar/data/320187/000032018726000088/0000320187-26-000088-index.htm" TargetMode="External" Id="rId47"/><Relationship Type="http://schemas.openxmlformats.org/officeDocument/2006/relationships/hyperlink" Target="https://www.sec.gov/Archives/edgar/data/320187/000032018726000088/0000320187-26-000088-index.htm" TargetMode="External" Id="rId48"/><Relationship Type="http://schemas.openxmlformats.org/officeDocument/2006/relationships/hyperlink" Target="https://www.sec.gov/Archives/edgar/data/320187/000032018720000047/0000320187-20-000047-index.htm" TargetMode="External" Id="rId49"/><Relationship Type="http://schemas.openxmlformats.org/officeDocument/2006/relationships/hyperlink" Target="https://www.sec.gov/Archives/edgar/data/320187/000032018721000028/0000320187-21-000028-index.htm" TargetMode="External" Id="rId50"/><Relationship Type="http://schemas.openxmlformats.org/officeDocument/2006/relationships/hyperlink" Target="https://www.sec.gov/Archives/edgar/data/320187/000032018722000038/0000320187-22-000038-index.htm" TargetMode="External" Id="rId51"/><Relationship Type="http://schemas.openxmlformats.org/officeDocument/2006/relationships/hyperlink" Target="https://www.sec.gov/Archives/edgar/data/320187/000032018723000039/0000320187-23-000039-index.htm" TargetMode="External" Id="rId52"/><Relationship Type="http://schemas.openxmlformats.org/officeDocument/2006/relationships/hyperlink" Target="https://www.sec.gov/Archives/edgar/data/320187/000032018724000044/0000320187-24-000044-index.htm" TargetMode="External" Id="rId53"/><Relationship Type="http://schemas.openxmlformats.org/officeDocument/2006/relationships/hyperlink" Target="https://www.sec.gov/Archives/edgar/data/320187/000032018725000047/0000320187-25-000047-index.htm" TargetMode="External" Id="rId54"/><Relationship Type="http://schemas.openxmlformats.org/officeDocument/2006/relationships/hyperlink" Target="https://www.sec.gov/Archives/edgar/data/320187/000032018726000088/0000320187-26-000088-index.htm" TargetMode="External" Id="rId55"/><Relationship Type="http://schemas.openxmlformats.org/officeDocument/2006/relationships/hyperlink" Target="https://www.sec.gov/Archives/edgar/data/320187/000032018726000088/0000320187-26-000088-index.htm" TargetMode="External" Id="rId56"/><Relationship Type="http://schemas.openxmlformats.org/officeDocument/2006/relationships/hyperlink" Target="https://www.sec.gov/Archives/edgar/data/320187/000032018725000047/0000320187-25-000047-index.htm" TargetMode="External" Id="rId57"/><Relationship Type="http://schemas.openxmlformats.org/officeDocument/2006/relationships/hyperlink" Target="https://www.sec.gov/Archives/edgar/data/320187/000032018726000088/0000320187-26-000088-index.htm" TargetMode="External" Id="rId58"/><Relationship Type="http://schemas.openxmlformats.org/officeDocument/2006/relationships/hyperlink" Target="https://www.sec.gov/Archives/edgar/data/320187/000032018726000088/0000320187-26-000088-index.htm" TargetMode="External" Id="rId59"/><Relationship Type="http://schemas.openxmlformats.org/officeDocument/2006/relationships/hyperlink" Target="https://www.sec.gov/Archives/edgar/data/320187/000032018726000088/0000320187-26-000088-index.htm" TargetMode="External" Id="rId60"/><Relationship Type="http://schemas.openxmlformats.org/officeDocument/2006/relationships/hyperlink" Target="https://www.sec.gov/Archives/edgar/data/320187/000032018721000028/0000320187-21-000028-index.htm" TargetMode="External" Id="rId61"/><Relationship Type="http://schemas.openxmlformats.org/officeDocument/2006/relationships/hyperlink" Target="https://www.sec.gov/Archives/edgar/data/320187/000032018722000038/0000320187-22-000038-index.htm" TargetMode="External" Id="rId62"/><Relationship Type="http://schemas.openxmlformats.org/officeDocument/2006/relationships/hyperlink" Target="https://www.sec.gov/Archives/edgar/data/320187/000032018723000039/0000320187-23-000039-index.htm" TargetMode="External" Id="rId63"/><Relationship Type="http://schemas.openxmlformats.org/officeDocument/2006/relationships/hyperlink" Target="https://www.sec.gov/Archives/edgar/data/320187/000032018724000044/0000320187-24-000044-index.htm" TargetMode="External" Id="rId64"/><Relationship Type="http://schemas.openxmlformats.org/officeDocument/2006/relationships/hyperlink" Target="https://www.sec.gov/Archives/edgar/data/320187/000032018724000044/0000320187-24-000044-index.htm" TargetMode="External" Id="rId65"/><Relationship Type="http://schemas.openxmlformats.org/officeDocument/2006/relationships/hyperlink" Target="https://www.sec.gov/Archives/edgar/data/320187/000032018724000044/0000320187-24-000044-index.htm" TargetMode="External" Id="rId66"/><Relationship Type="http://schemas.openxmlformats.org/officeDocument/2006/relationships/hyperlink" Target="https://www.sec.gov/Archives/edgar/data/320187/000032018721000028/0000320187-21-000028-index.htm" TargetMode="External" Id="rId67"/><Relationship Type="http://schemas.openxmlformats.org/officeDocument/2006/relationships/hyperlink" Target="https://www.sec.gov/Archives/edgar/data/320187/000032018722000038/0000320187-22-000038-index.htm" TargetMode="External" Id="rId68"/><Relationship Type="http://schemas.openxmlformats.org/officeDocument/2006/relationships/hyperlink" Target="https://www.sec.gov/Archives/edgar/data/320187/000032018723000039/0000320187-23-000039-index.htm" TargetMode="External" Id="rId69"/><Relationship Type="http://schemas.openxmlformats.org/officeDocument/2006/relationships/hyperlink" Target="https://www.sec.gov/Archives/edgar/data/320187/000032018724000044/0000320187-24-000044-index.htm" TargetMode="External" Id="rId70"/><Relationship Type="http://schemas.openxmlformats.org/officeDocument/2006/relationships/hyperlink" Target="https://www.sec.gov/Archives/edgar/data/320187/000032018725000047/0000320187-25-000047-index.htm" TargetMode="External" Id="rId71"/><Relationship Type="http://schemas.openxmlformats.org/officeDocument/2006/relationships/hyperlink" Target="https://www.sec.gov/Archives/edgar/data/320187/000032018726000088/0000320187-26-000088-index.htm" TargetMode="External" Id="rId72"/><Relationship Type="http://schemas.openxmlformats.org/officeDocument/2006/relationships/hyperlink" Target="https://www.sec.gov/Archives/edgar/data/320187/000032018726000088/0000320187-26-000088-index.htm" TargetMode="External" Id="rId73"/><Relationship Type="http://schemas.openxmlformats.org/officeDocument/2006/relationships/hyperlink" Target="https://www.sec.gov/Archives/edgar/data/320187/000032018726000088/0000320187-26-000088-index.htm" TargetMode="External" Id="rId74"/><Relationship Type="http://schemas.openxmlformats.org/officeDocument/2006/relationships/hyperlink" Target="https://www.sec.gov/Archives/edgar/data/320187/000032018721000028/0000320187-21-000028-index.htm" TargetMode="External" Id="rId75"/><Relationship Type="http://schemas.openxmlformats.org/officeDocument/2006/relationships/hyperlink" Target="https://www.sec.gov/Archives/edgar/data/320187/000032018722000038/0000320187-22-000038-index.htm" TargetMode="External" Id="rId76"/><Relationship Type="http://schemas.openxmlformats.org/officeDocument/2006/relationships/hyperlink" Target="https://www.sec.gov/Archives/edgar/data/320187/000032018723000039/0000320187-23-000039-index.htm" TargetMode="External" Id="rId77"/><Relationship Type="http://schemas.openxmlformats.org/officeDocument/2006/relationships/hyperlink" Target="https://www.sec.gov/Archives/edgar/data/320187/000032018724000044/0000320187-24-000044-index.htm" TargetMode="External" Id="rId78"/><Relationship Type="http://schemas.openxmlformats.org/officeDocument/2006/relationships/hyperlink" Target="https://www.sec.gov/Archives/edgar/data/320187/000032018725000047/0000320187-25-000047-index.htm" TargetMode="External" Id="rId79"/><Relationship Type="http://schemas.openxmlformats.org/officeDocument/2006/relationships/hyperlink" Target="https://www.sec.gov/Archives/edgar/data/320187/000032018726000088/0000320187-26-000088-index.htm" TargetMode="External" Id="rId80"/><Relationship Type="http://schemas.openxmlformats.org/officeDocument/2006/relationships/hyperlink" Target="https://www.sec.gov/Archives/edgar/data/320187/000032018726000088/0000320187-26-000088-index.htm" TargetMode="External" Id="rId81"/><Relationship Type="http://schemas.openxmlformats.org/officeDocument/2006/relationships/hyperlink" Target="https://www.sec.gov/Archives/edgar/data/320187/000032018726000088/0000320187-26-000088-index.htm" TargetMode="External" Id="rId82"/><Relationship Type="http://schemas.openxmlformats.org/officeDocument/2006/relationships/hyperlink" Target="https://www.sec.gov/Archives/edgar/data/320187/000032018721000028/0000320187-21-000028-index.htm" TargetMode="External" Id="rId83"/><Relationship Type="http://schemas.openxmlformats.org/officeDocument/2006/relationships/hyperlink" Target="https://www.sec.gov/Archives/edgar/data/320187/000032018722000038/0000320187-22-000038-index.htm" TargetMode="External" Id="rId84"/><Relationship Type="http://schemas.openxmlformats.org/officeDocument/2006/relationships/hyperlink" Target="https://www.sec.gov/Archives/edgar/data/320187/000032018723000039/0000320187-23-000039-index.htm" TargetMode="External" Id="rId85"/><Relationship Type="http://schemas.openxmlformats.org/officeDocument/2006/relationships/hyperlink" Target="https://www.sec.gov/Archives/edgar/data/320187/000032018724000044/0000320187-24-000044-index.htm" TargetMode="External" Id="rId86"/><Relationship Type="http://schemas.openxmlformats.org/officeDocument/2006/relationships/hyperlink" Target="https://www.sec.gov/Archives/edgar/data/320187/000032018725000047/0000320187-25-000047-index.htm" TargetMode="External" Id="rId87"/><Relationship Type="http://schemas.openxmlformats.org/officeDocument/2006/relationships/hyperlink" Target="https://www.sec.gov/Archives/edgar/data/320187/000032018726000088/0000320187-26-000088-index.htm" TargetMode="External" Id="rId88"/><Relationship Type="http://schemas.openxmlformats.org/officeDocument/2006/relationships/hyperlink" Target="https://www.sec.gov/Archives/edgar/data/320187/000032018726000088/0000320187-26-000088-index.htm" TargetMode="External" Id="rId89"/><Relationship Type="http://schemas.openxmlformats.org/officeDocument/2006/relationships/hyperlink" Target="https://www.sec.gov/Archives/edgar/data/320187/000032018726000088/0000320187-26-000088-index.htm" TargetMode="External" Id="rId90"/><Relationship Type="http://schemas.openxmlformats.org/officeDocument/2006/relationships/hyperlink" Target="https://www.sec.gov/Archives/edgar/data/320187/000032018722000038/0000320187-22-000038-index.htm" TargetMode="External" Id="rId91"/><Relationship Type="http://schemas.openxmlformats.org/officeDocument/2006/relationships/hyperlink" Target="https://www.sec.gov/Archives/edgar/data/320187/000032018723000039/0000320187-23-000039-index.htm" TargetMode="External" Id="rId92"/><Relationship Type="http://schemas.openxmlformats.org/officeDocument/2006/relationships/hyperlink" Target="https://www.sec.gov/Archives/edgar/data/320187/000032018724000044/0000320187-24-000044-index.htm" TargetMode="External" Id="rId93"/><Relationship Type="http://schemas.openxmlformats.org/officeDocument/2006/relationships/hyperlink" Target="https://www.sec.gov/Archives/edgar/data/320187/000032018725000047/0000320187-25-000047-index.htm" TargetMode="External" Id="rId94"/><Relationship Type="http://schemas.openxmlformats.org/officeDocument/2006/relationships/hyperlink" Target="https://www.sec.gov/Archives/edgar/data/320187/000032018726000088/0000320187-26-000088-index.htm" TargetMode="External" Id="rId95"/><Relationship Type="http://schemas.openxmlformats.org/officeDocument/2006/relationships/hyperlink" Target="https://www.sec.gov/Archives/edgar/data/320187/000032018726000088/0000320187-26-000088-index.htm" TargetMode="External" Id="rId96"/><Relationship Type="http://schemas.openxmlformats.org/officeDocument/2006/relationships/hyperlink" Target="https://www.sec.gov/Archives/edgar/data/320187/000032018726000088/0000320187-26-000088-index.htm" TargetMode="External" Id="rId97"/><Relationship Type="http://schemas.openxmlformats.org/officeDocument/2006/relationships/hyperlink" Target="https://www.sec.gov/Archives/edgar/data/320187/000032018726000088/0000320187-26-000088-index.htm" TargetMode="External" Id="rId98"/><Relationship Type="http://schemas.openxmlformats.org/officeDocument/2006/relationships/hyperlink" Target="https://www.sec.gov/Archives/edgar/data/320187/000032018720000047/0000320187-20-000047-index.htm" TargetMode="External" Id="rId99"/><Relationship Type="http://schemas.openxmlformats.org/officeDocument/2006/relationships/hyperlink" Target="https://www.sec.gov/Archives/edgar/data/320187/000032018721000028/0000320187-21-000028-index.htm" TargetMode="External" Id="rId100"/><Relationship Type="http://schemas.openxmlformats.org/officeDocument/2006/relationships/hyperlink" Target="https://www.sec.gov/Archives/edgar/data/320187/000032018722000038/0000320187-22-000038-index.htm" TargetMode="External" Id="rId101"/><Relationship Type="http://schemas.openxmlformats.org/officeDocument/2006/relationships/hyperlink" Target="https://www.sec.gov/Archives/edgar/data/320187/000032018723000039/0000320187-23-000039-index.htm" TargetMode="External" Id="rId102"/><Relationship Type="http://schemas.openxmlformats.org/officeDocument/2006/relationships/hyperlink" Target="https://www.sec.gov/Archives/edgar/data/320187/000032018724000044/0000320187-24-000044-index.htm" TargetMode="External" Id="rId103"/><Relationship Type="http://schemas.openxmlformats.org/officeDocument/2006/relationships/hyperlink" Target="https://www.sec.gov/Archives/edgar/data/320187/000032018725000047/0000320187-25-000047-index.htm" TargetMode="External" Id="rId104"/><Relationship Type="http://schemas.openxmlformats.org/officeDocument/2006/relationships/hyperlink" Target="https://www.sec.gov/Archives/edgar/data/320187/000032018726000088/0000320187-26-000088-index.htm" TargetMode="External" Id="rId105"/><Relationship Type="http://schemas.openxmlformats.org/officeDocument/2006/relationships/hyperlink" Target="https://www.sec.gov/Archives/edgar/data/320187/000032018726000088/0000320187-26-000088-index.htm" TargetMode="External" Id="rId106"/><Relationship Type="http://schemas.openxmlformats.org/officeDocument/2006/relationships/hyperlink" Target="https://www.sec.gov/Archives/edgar/data/320187/000032018721000028/0000320187-21-000028-index.htm" TargetMode="External" Id="rId107"/><Relationship Type="http://schemas.openxmlformats.org/officeDocument/2006/relationships/hyperlink" Target="https://www.sec.gov/Archives/edgar/data/320187/000032018722000038/0000320187-22-000038-index.htm" TargetMode="External" Id="rId108"/><Relationship Type="http://schemas.openxmlformats.org/officeDocument/2006/relationships/hyperlink" Target="https://www.sec.gov/Archives/edgar/data/320187/000032018723000039/0000320187-23-000039-index.htm" TargetMode="External" Id="rId109"/><Relationship Type="http://schemas.openxmlformats.org/officeDocument/2006/relationships/hyperlink" Target="https://www.sec.gov/Archives/edgar/data/320187/000032018724000044/0000320187-24-000044-index.htm" TargetMode="External" Id="rId110"/><Relationship Type="http://schemas.openxmlformats.org/officeDocument/2006/relationships/hyperlink" Target="https://www.sec.gov/Archives/edgar/data/320187/000032018725000047/0000320187-25-000047-index.htm" TargetMode="External" Id="rId111"/><Relationship Type="http://schemas.openxmlformats.org/officeDocument/2006/relationships/hyperlink" Target="https://www.sec.gov/Archives/edgar/data/320187/000032018726000088/0000320187-26-000088-index.htm" TargetMode="External" Id="rId112"/><Relationship Type="http://schemas.openxmlformats.org/officeDocument/2006/relationships/hyperlink" Target="https://www.sec.gov/Archives/edgar/data/320187/000032018726000088/0000320187-26-000088-index.htm" TargetMode="External" Id="rId113"/><Relationship Type="http://schemas.openxmlformats.org/officeDocument/2006/relationships/hyperlink" Target="https://www.sec.gov/Archives/edgar/data/320187/000032018726000088/0000320187-26-000088-index.htm" TargetMode="External" Id="rId114"/><Relationship Type="http://schemas.openxmlformats.org/officeDocument/2006/relationships/hyperlink" Target="https://www.sec.gov/Archives/edgar/data/320187/000032018721000028/0000320187-21-000028-index.htm" TargetMode="External" Id="rId115"/><Relationship Type="http://schemas.openxmlformats.org/officeDocument/2006/relationships/hyperlink" Target="https://www.sec.gov/Archives/edgar/data/320187/000032018722000038/0000320187-22-000038-index.htm" TargetMode="External" Id="rId116"/><Relationship Type="http://schemas.openxmlformats.org/officeDocument/2006/relationships/hyperlink" Target="https://www.sec.gov/Archives/edgar/data/320187/000032018723000039/0000320187-23-000039-index.htm" TargetMode="External" Id="rId117"/><Relationship Type="http://schemas.openxmlformats.org/officeDocument/2006/relationships/hyperlink" Target="https://www.sec.gov/Archives/edgar/data/320187/000032018724000044/0000320187-24-000044-index.htm" TargetMode="External" Id="rId118"/><Relationship Type="http://schemas.openxmlformats.org/officeDocument/2006/relationships/hyperlink" Target="https://www.sec.gov/Archives/edgar/data/320187/000032018725000047/0000320187-25-000047-index.htm" TargetMode="External" Id="rId119"/><Relationship Type="http://schemas.openxmlformats.org/officeDocument/2006/relationships/hyperlink" Target="https://www.sec.gov/Archives/edgar/data/320187/000032018726000088/0000320187-26-000088-index.htm" TargetMode="External" Id="rId120"/><Relationship Type="http://schemas.openxmlformats.org/officeDocument/2006/relationships/hyperlink" Target="https://www.sec.gov/Archives/edgar/data/320187/000032018726000088/0000320187-26-000088-index.htm" TargetMode="External" Id="rId121"/><Relationship Type="http://schemas.openxmlformats.org/officeDocument/2006/relationships/hyperlink" Target="https://www.sec.gov/Archives/edgar/data/320187/000032018726000088/0000320187-26-000088-index.htm" TargetMode="External" Id="rId122"/><Relationship Type="http://schemas.openxmlformats.org/officeDocument/2006/relationships/hyperlink" Target="https://www.sec.gov/Archives/edgar/data/320187/000032018721000028/0000320187-21-000028-index.htm" TargetMode="External" Id="rId123"/><Relationship Type="http://schemas.openxmlformats.org/officeDocument/2006/relationships/hyperlink" Target="https://www.sec.gov/Archives/edgar/data/320187/000032018722000038/0000320187-22-000038-index.htm" TargetMode="External" Id="rId124"/><Relationship Type="http://schemas.openxmlformats.org/officeDocument/2006/relationships/hyperlink" Target="https://www.sec.gov/Archives/edgar/data/320187/000032018723000039/0000320187-23-000039-index.htm" TargetMode="External" Id="rId125"/><Relationship Type="http://schemas.openxmlformats.org/officeDocument/2006/relationships/hyperlink" Target="https://www.sec.gov/Archives/edgar/data/320187/000032018724000044/0000320187-24-000044-index.htm" TargetMode="External" Id="rId126"/><Relationship Type="http://schemas.openxmlformats.org/officeDocument/2006/relationships/hyperlink" Target="https://www.sec.gov/Archives/edgar/data/320187/000032018725000047/0000320187-25-000047-index.htm" TargetMode="External" Id="rId127"/><Relationship Type="http://schemas.openxmlformats.org/officeDocument/2006/relationships/hyperlink" Target="https://www.sec.gov/Archives/edgar/data/320187/000032018726000088/0000320187-26-000088-index.htm" TargetMode="External" Id="rId128"/><Relationship Type="http://schemas.openxmlformats.org/officeDocument/2006/relationships/hyperlink" Target="https://www.sec.gov/Archives/edgar/data/320187/000032018726000088/0000320187-26-000088-index.htm" TargetMode="External" Id="rId129"/><Relationship Type="http://schemas.openxmlformats.org/officeDocument/2006/relationships/hyperlink" Target="https://www.sec.gov/Archives/edgar/data/320187/000032018726000088/0000320187-26-000088-index.htm" TargetMode="External" Id="rId130"/><Relationship Type="http://schemas.openxmlformats.org/officeDocument/2006/relationships/hyperlink" Target="https://www.sec.gov/Archives/edgar/data/320187/000032018720000047/0000320187-20-000047-index.htm" TargetMode="External" Id="rId131"/><Relationship Type="http://schemas.openxmlformats.org/officeDocument/2006/relationships/hyperlink" Target="https://www.sec.gov/Archives/edgar/data/320187/000032018721000028/0000320187-21-000028-index.htm" TargetMode="External" Id="rId132"/><Relationship Type="http://schemas.openxmlformats.org/officeDocument/2006/relationships/hyperlink" Target="https://www.sec.gov/Archives/edgar/data/320187/000032018722000038/0000320187-22-000038-index.htm" TargetMode="External" Id="rId133"/><Relationship Type="http://schemas.openxmlformats.org/officeDocument/2006/relationships/hyperlink" Target="https://www.sec.gov/Archives/edgar/data/320187/000032018723000039/0000320187-23-000039-index.htm" TargetMode="External" Id="rId134"/><Relationship Type="http://schemas.openxmlformats.org/officeDocument/2006/relationships/hyperlink" Target="https://www.sec.gov/Archives/edgar/data/320187/000032018725000047/0000320187-25-000047-index.htm" TargetMode="External" Id="rId135"/><Relationship Type="http://schemas.openxmlformats.org/officeDocument/2006/relationships/hyperlink" Target="https://www.sec.gov/Archives/edgar/data/320187/000032018726000088/0000320187-26-000088-index.htm" TargetMode="External" Id="rId136"/><Relationship Type="http://schemas.openxmlformats.org/officeDocument/2006/relationships/hyperlink" Target="https://www.sec.gov/Archives/edgar/data/320187/000032018726000088/0000320187-26-000088-index.htm" TargetMode="External" Id="rId137"/><Relationship Type="http://schemas.openxmlformats.org/officeDocument/2006/relationships/hyperlink" Target="https://www.sec.gov/Archives/edgar/data/320187/000032018726000088/0000320187-26-000088-index.htm" TargetMode="External" Id="rId138"/><Relationship Type="http://schemas.openxmlformats.org/officeDocument/2006/relationships/hyperlink" Target="https://www.sec.gov/Archives/edgar/data/320187/000032018720000047/0000320187-20-000047-index.htm" TargetMode="External" Id="rId139"/><Relationship Type="http://schemas.openxmlformats.org/officeDocument/2006/relationships/hyperlink" Target="https://www.sec.gov/Archives/edgar/data/320187/000032018721000028/0000320187-21-000028-index.htm" TargetMode="External" Id="rId140"/><Relationship Type="http://schemas.openxmlformats.org/officeDocument/2006/relationships/hyperlink" Target="https://www.sec.gov/Archives/edgar/data/320187/000032018722000038/0000320187-22-000038-index.htm" TargetMode="External" Id="rId141"/><Relationship Type="http://schemas.openxmlformats.org/officeDocument/2006/relationships/hyperlink" Target="https://www.sec.gov/Archives/edgar/data/320187/000032018723000039/0000320187-23-000039-index.htm" TargetMode="External" Id="rId142"/><Relationship Type="http://schemas.openxmlformats.org/officeDocument/2006/relationships/hyperlink" Target="https://www.sec.gov/Archives/edgar/data/320187/000032018724000044/0000320187-24-000044-index.htm" TargetMode="External" Id="rId143"/><Relationship Type="http://schemas.openxmlformats.org/officeDocument/2006/relationships/hyperlink" Target="https://www.sec.gov/Archives/edgar/data/320187/000032018725000047/0000320187-25-000047-index.htm" TargetMode="External" Id="rId144"/><Relationship Type="http://schemas.openxmlformats.org/officeDocument/2006/relationships/hyperlink" Target="https://www.sec.gov/Archives/edgar/data/320187/000032018726000088/0000320187-26-000088-index.htm" TargetMode="External" Id="rId145"/><Relationship Type="http://schemas.openxmlformats.org/officeDocument/2006/relationships/hyperlink" Target="https://www.sec.gov/Archives/edgar/data/320187/000032018726000088/0000320187-26-000088-index.htm" TargetMode="External" Id="rId146"/><Relationship Type="http://schemas.openxmlformats.org/officeDocument/2006/relationships/hyperlink" Target="https://www.sec.gov/Archives/edgar/data/320187/000032018720000047/0000320187-20-000047-index.htm" TargetMode="External" Id="rId147"/><Relationship Type="http://schemas.openxmlformats.org/officeDocument/2006/relationships/hyperlink" Target="https://www.sec.gov/Archives/edgar/data/320187/000032018721000028/0000320187-21-000028-index.htm" TargetMode="External" Id="rId148"/><Relationship Type="http://schemas.openxmlformats.org/officeDocument/2006/relationships/hyperlink" Target="https://www.sec.gov/Archives/edgar/data/320187/000032018722000038/0000320187-22-000038-index.htm" TargetMode="External" Id="rId149"/><Relationship Type="http://schemas.openxmlformats.org/officeDocument/2006/relationships/hyperlink" Target="https://www.sec.gov/Archives/edgar/data/320187/000032018723000039/0000320187-23-000039-index.htm" TargetMode="External" Id="rId150"/><Relationship Type="http://schemas.openxmlformats.org/officeDocument/2006/relationships/hyperlink" Target="https://www.sec.gov/Archives/edgar/data/320187/000032018724000044/0000320187-24-000044-index.htm" TargetMode="External" Id="rId151"/><Relationship Type="http://schemas.openxmlformats.org/officeDocument/2006/relationships/hyperlink" Target="https://www.sec.gov/Archives/edgar/data/320187/000032018725000047/0000320187-25-000047-index.htm" TargetMode="External" Id="rId152"/><Relationship Type="http://schemas.openxmlformats.org/officeDocument/2006/relationships/hyperlink" Target="https://www.sec.gov/Archives/edgar/data/320187/000032018726000088/0000320187-26-000088-index.htm" TargetMode="External" Id="rId153"/><Relationship Type="http://schemas.openxmlformats.org/officeDocument/2006/relationships/hyperlink" Target="https://www.sec.gov/Archives/edgar/data/320187/000032018726000088/0000320187-26-000088-index.htm" TargetMode="External" Id="rId154"/><Relationship Type="http://schemas.openxmlformats.org/officeDocument/2006/relationships/hyperlink" Target="https://www.sec.gov/Archives/edgar/data/320187/000032018720000047/0000320187-20-000047-index.htm" TargetMode="External" Id="rId155"/><Relationship Type="http://schemas.openxmlformats.org/officeDocument/2006/relationships/hyperlink" Target="https://www.sec.gov/Archives/edgar/data/320187/000032018721000028/0000320187-21-000028-index.htm" TargetMode="External" Id="rId156"/><Relationship Type="http://schemas.openxmlformats.org/officeDocument/2006/relationships/hyperlink" Target="https://www.sec.gov/Archives/edgar/data/320187/000032018722000038/0000320187-22-000038-index.htm" TargetMode="External" Id="rId157"/><Relationship Type="http://schemas.openxmlformats.org/officeDocument/2006/relationships/hyperlink" Target="https://www.sec.gov/Archives/edgar/data/320187/000032018723000039/0000320187-23-000039-index.htm" TargetMode="External" Id="rId158"/><Relationship Type="http://schemas.openxmlformats.org/officeDocument/2006/relationships/hyperlink" Target="https://www.sec.gov/Archives/edgar/data/320187/000032018724000044/0000320187-24-000044-index.htm" TargetMode="External" Id="rId159"/><Relationship Type="http://schemas.openxmlformats.org/officeDocument/2006/relationships/hyperlink" Target="https://www.sec.gov/Archives/edgar/data/320187/000032018725000047/0000320187-25-000047-index.htm" TargetMode="External" Id="rId160"/><Relationship Type="http://schemas.openxmlformats.org/officeDocument/2006/relationships/hyperlink" Target="https://www.sec.gov/Archives/edgar/data/320187/000032018726000088/0000320187-26-000088-index.htm" TargetMode="External" Id="rId161"/><Relationship Type="http://schemas.openxmlformats.org/officeDocument/2006/relationships/hyperlink" Target="https://www.sec.gov/Archives/edgar/data/320187/000032018726000088/0000320187-26-000088-index.htm" TargetMode="External" Id="rId162"/><Relationship Type="http://schemas.openxmlformats.org/officeDocument/2006/relationships/hyperlink" Target="https://www.sec.gov/Archives/edgar/data/320187/000032018721000028/0000320187-21-000028-index.htm" TargetMode="External" Id="rId163"/><Relationship Type="http://schemas.openxmlformats.org/officeDocument/2006/relationships/hyperlink" Target="https://www.sec.gov/Archives/edgar/data/320187/000032018722000038/0000320187-22-000038-index.htm" TargetMode="External" Id="rId164"/><Relationship Type="http://schemas.openxmlformats.org/officeDocument/2006/relationships/hyperlink" Target="https://www.sec.gov/Archives/edgar/data/320187/000032018723000039/0000320187-23-000039-index.htm" TargetMode="External" Id="rId165"/><Relationship Type="http://schemas.openxmlformats.org/officeDocument/2006/relationships/hyperlink" Target="https://www.sec.gov/Archives/edgar/data/320187/000032018724000044/0000320187-24-000044-index.htm" TargetMode="External" Id="rId166"/><Relationship Type="http://schemas.openxmlformats.org/officeDocument/2006/relationships/hyperlink" Target="https://www.sec.gov/Archives/edgar/data/320187/000032018725000047/0000320187-25-000047-index.htm" TargetMode="External" Id="rId167"/><Relationship Type="http://schemas.openxmlformats.org/officeDocument/2006/relationships/hyperlink" Target="https://www.sec.gov/Archives/edgar/data/320187/000032018726000088/0000320187-26-000088-index.htm" TargetMode="External" Id="rId168"/><Relationship Type="http://schemas.openxmlformats.org/officeDocument/2006/relationships/hyperlink" Target="https://www.sec.gov/Archives/edgar/data/320187/000032018726000088/0000320187-26-000088-index.htm" TargetMode="External" Id="rId169"/><Relationship Type="http://schemas.openxmlformats.org/officeDocument/2006/relationships/hyperlink" Target="https://www.sec.gov/Archives/edgar/data/320187/000032018726000088/0000320187-26-000088-index.htm" TargetMode="External" Id="rId170"/><Relationship Type="http://schemas.openxmlformats.org/officeDocument/2006/relationships/hyperlink" Target="https://www.sec.gov/Archives/edgar/data/320187//-index.htm" TargetMode="External" Id="rId171"/><Relationship Type="http://schemas.openxmlformats.org/officeDocument/2006/relationships/hyperlink" Target="https://www.sec.gov/Archives/edgar/data/320187//-index.htm" TargetMode="External" Id="rId172"/><Relationship Type="http://schemas.openxmlformats.org/officeDocument/2006/relationships/hyperlink" Target="https://www.sec.gov/Archives/edgar/data/320187//-index.htm" TargetMode="External" Id="rId173"/><Relationship Type="http://schemas.openxmlformats.org/officeDocument/2006/relationships/hyperlink" Target="https://www.sec.gov/Archives/edgar/data/320187//-index.htm" TargetMode="External" Id="rId174"/><Relationship Type="http://schemas.openxmlformats.org/officeDocument/2006/relationships/hyperlink" Target="https://www.sec.gov/Archives/edgar/data/320187//-index.htm" TargetMode="External" Id="rId175"/><Relationship Type="http://schemas.openxmlformats.org/officeDocument/2006/relationships/hyperlink" Target="https://www.sec.gov/Archives/edgar/data/320187//-index.htm" TargetMode="External" Id="rId176"/><Relationship Type="http://schemas.openxmlformats.org/officeDocument/2006/relationships/hyperlink" Target="https://www.sec.gov/Archives/edgar/data/320187//-index.htm" TargetMode="External" Id="rId177"/><Relationship Type="http://schemas.openxmlformats.org/officeDocument/2006/relationships/hyperlink" Target="https://www.sec.gov/Archives/edgar/data/320187//-index.htm" TargetMode="External" Id="rId178"/><Relationship Type="http://schemas.openxmlformats.org/officeDocument/2006/relationships/hyperlink" Target="https://www.sec.gov/Archives/edgar/data/320187/000032018720000047/0000320187-20-000047-index.htm" TargetMode="External" Id="rId179"/><Relationship Type="http://schemas.openxmlformats.org/officeDocument/2006/relationships/hyperlink" Target="https://www.sec.gov/Archives/edgar/data/320187/000032018721000028/0000320187-21-000028-index.htm" TargetMode="External" Id="rId180"/><Relationship Type="http://schemas.openxmlformats.org/officeDocument/2006/relationships/hyperlink" Target="https://www.sec.gov/Archives/edgar/data/320187/000032018722000038/0000320187-22-000038-index.htm" TargetMode="External" Id="rId181"/><Relationship Type="http://schemas.openxmlformats.org/officeDocument/2006/relationships/hyperlink" Target="https://www.sec.gov/Archives/edgar/data/320187/000032018723000039/0000320187-23-000039-index.htm" TargetMode="External" Id="rId182"/><Relationship Type="http://schemas.openxmlformats.org/officeDocument/2006/relationships/hyperlink" Target="https://www.sec.gov/Archives/edgar/data/320187/000032018724000044/0000320187-24-000044-index.htm" TargetMode="External" Id="rId183"/><Relationship Type="http://schemas.openxmlformats.org/officeDocument/2006/relationships/hyperlink" Target="https://www.sec.gov/Archives/edgar/data/320187/000032018725000047/0000320187-25-000047-index.htm" TargetMode="External" Id="rId184"/><Relationship Type="http://schemas.openxmlformats.org/officeDocument/2006/relationships/hyperlink" Target="https://www.sec.gov/Archives/edgar/data/320187/000032018726000088/0000320187-26-000088-index.htm" TargetMode="External" Id="rId185"/><Relationship Type="http://schemas.openxmlformats.org/officeDocument/2006/relationships/hyperlink" Target="https://www.sec.gov/Archives/edgar/data/320187/000032018726000088/0000320187-26-000088-index.htm" TargetMode="External" Id="rId186"/><Relationship Type="http://schemas.openxmlformats.org/officeDocument/2006/relationships/hyperlink" Target="https://www.sec.gov/Archives/edgar/data/320187/000032018720000047/0000320187-20-000047-index.htm" TargetMode="External" Id="rId187"/><Relationship Type="http://schemas.openxmlformats.org/officeDocument/2006/relationships/hyperlink" Target="https://www.sec.gov/Archives/edgar/data/320187/000032018721000028/0000320187-21-000028-index.htm" TargetMode="External" Id="rId188"/><Relationship Type="http://schemas.openxmlformats.org/officeDocument/2006/relationships/hyperlink" Target="https://www.sec.gov/Archives/edgar/data/320187/000032018722000038/0000320187-22-000038-index.htm" TargetMode="External" Id="rId189"/><Relationship Type="http://schemas.openxmlformats.org/officeDocument/2006/relationships/hyperlink" Target="https://www.sec.gov/Archives/edgar/data/320187/000032018723000039/0000320187-23-000039-index.htm" TargetMode="External" Id="rId190"/><Relationship Type="http://schemas.openxmlformats.org/officeDocument/2006/relationships/hyperlink" Target="https://www.sec.gov/Archives/edgar/data/320187/000032018724000044/0000320187-24-000044-index.htm" TargetMode="External" Id="rId191"/><Relationship Type="http://schemas.openxmlformats.org/officeDocument/2006/relationships/hyperlink" Target="https://www.sec.gov/Archives/edgar/data/320187/000032018725000047/0000320187-25-000047-index.htm" TargetMode="External" Id="rId192"/><Relationship Type="http://schemas.openxmlformats.org/officeDocument/2006/relationships/hyperlink" Target="https://www.sec.gov/Archives/edgar/data/320187/000032018726000088/0000320187-26-000088-index.htm" TargetMode="External" Id="rId193"/><Relationship Type="http://schemas.openxmlformats.org/officeDocument/2006/relationships/hyperlink" Target="https://www.sec.gov/Archives/edgar/data/320187/000032018726000088/0000320187-26-000088-index.htm" TargetMode="External" Id="rId194"/><Relationship Type="http://schemas.openxmlformats.org/officeDocument/2006/relationships/hyperlink" Target="https://www.sec.gov/Archives/edgar/data/320187/000032018721000028/0000320187-21-000028-index.htm" TargetMode="External" Id="rId195"/><Relationship Type="http://schemas.openxmlformats.org/officeDocument/2006/relationships/hyperlink" Target="https://www.sec.gov/Archives/edgar/data/320187/000032018722000038/0000320187-22-000038-index.htm" TargetMode="External" Id="rId196"/><Relationship Type="http://schemas.openxmlformats.org/officeDocument/2006/relationships/hyperlink" Target="https://www.sec.gov/Archives/edgar/data/320187/000032018723000039/0000320187-23-000039-index.htm" TargetMode="External" Id="rId197"/><Relationship Type="http://schemas.openxmlformats.org/officeDocument/2006/relationships/hyperlink" Target="https://www.sec.gov/Archives/edgar/data/320187/000032018724000044/0000320187-24-000044-index.htm" TargetMode="External" Id="rId198"/><Relationship Type="http://schemas.openxmlformats.org/officeDocument/2006/relationships/hyperlink" Target="https://www.sec.gov/Archives/edgar/data/320187/000032018725000047/0000320187-25-000047-index.htm" TargetMode="External" Id="rId199"/><Relationship Type="http://schemas.openxmlformats.org/officeDocument/2006/relationships/hyperlink" Target="https://www.sec.gov/Archives/edgar/data/320187/000032018726000088/0000320187-26-000088-index.htm" TargetMode="External" Id="rId200"/><Relationship Type="http://schemas.openxmlformats.org/officeDocument/2006/relationships/hyperlink" Target="https://www.sec.gov/Archives/edgar/data/320187/000032018726000088/0000320187-26-000088-index.htm" TargetMode="External" Id="rId201"/><Relationship Type="http://schemas.openxmlformats.org/officeDocument/2006/relationships/hyperlink" Target="https://www.sec.gov/Archives/edgar/data/320187/000032018726000088/0000320187-26-000088-index.htm" TargetMode="External" Id="rId202"/><Relationship Type="http://schemas.openxmlformats.org/officeDocument/2006/relationships/hyperlink" Target="https://www.sec.gov/Archives/edgar/data/320187/000032018720000047/0000320187-20-000047-index.htm" TargetMode="External" Id="rId203"/><Relationship Type="http://schemas.openxmlformats.org/officeDocument/2006/relationships/hyperlink" Target="https://www.sec.gov/Archives/edgar/data/320187/000032018721000028/0000320187-21-000028-index.htm" TargetMode="External" Id="rId204"/><Relationship Type="http://schemas.openxmlformats.org/officeDocument/2006/relationships/hyperlink" Target="https://www.sec.gov/Archives/edgar/data/320187/000032018722000038/0000320187-22-000038-index.htm" TargetMode="External" Id="rId205"/><Relationship Type="http://schemas.openxmlformats.org/officeDocument/2006/relationships/hyperlink" Target="https://www.sec.gov/Archives/edgar/data/320187/000032018723000039/0000320187-23-000039-index.htm" TargetMode="External" Id="rId206"/><Relationship Type="http://schemas.openxmlformats.org/officeDocument/2006/relationships/hyperlink" Target="https://www.sec.gov/Archives/edgar/data/320187/000032018724000044/0000320187-24-000044-index.htm" TargetMode="External" Id="rId207"/><Relationship Type="http://schemas.openxmlformats.org/officeDocument/2006/relationships/hyperlink" Target="https://www.sec.gov/Archives/edgar/data/320187/000032018725000047/0000320187-25-000047-index.htm" TargetMode="External" Id="rId208"/><Relationship Type="http://schemas.openxmlformats.org/officeDocument/2006/relationships/hyperlink" Target="https://www.sec.gov/Archives/edgar/data/320187/000032018726000088/0000320187-26-000088-index.htm" TargetMode="External" Id="rId209"/><Relationship Type="http://schemas.openxmlformats.org/officeDocument/2006/relationships/hyperlink" Target="https://www.sec.gov/Archives/edgar/data/320187/000032018726000088/0000320187-26-000088-index.htm" TargetMode="External" Id="rId210"/><Relationship Type="http://schemas.openxmlformats.org/officeDocument/2006/relationships/hyperlink" Target="https://www.sec.gov/Archives/edgar/data/320187/000032018721000028/0000320187-21-000028-index.htm" TargetMode="External" Id="rId211"/><Relationship Type="http://schemas.openxmlformats.org/officeDocument/2006/relationships/hyperlink" Target="https://www.sec.gov/Archives/edgar/data/320187/000032018722000038/0000320187-22-000038-index.htm" TargetMode="External" Id="rId212"/><Relationship Type="http://schemas.openxmlformats.org/officeDocument/2006/relationships/hyperlink" Target="https://www.sec.gov/Archives/edgar/data/320187/000032018723000039/0000320187-23-000039-index.htm" TargetMode="External" Id="rId213"/><Relationship Type="http://schemas.openxmlformats.org/officeDocument/2006/relationships/hyperlink" Target="https://www.sec.gov/Archives/edgar/data/320187/000032018724000044/0000320187-24-000044-index.htm" TargetMode="External" Id="rId214"/><Relationship Type="http://schemas.openxmlformats.org/officeDocument/2006/relationships/hyperlink" Target="https://www.sec.gov/Archives/edgar/data/320187/000032018725000047/0000320187-25-000047-index.htm" TargetMode="External" Id="rId215"/><Relationship Type="http://schemas.openxmlformats.org/officeDocument/2006/relationships/hyperlink" Target="https://www.sec.gov/Archives/edgar/data/320187/000032018726000088/0000320187-26-000088-index.htm" TargetMode="External" Id="rId216"/><Relationship Type="http://schemas.openxmlformats.org/officeDocument/2006/relationships/hyperlink" Target="https://www.sec.gov/Archives/edgar/data/320187/000032018726000088/0000320187-26-000088-index.htm" TargetMode="External" Id="rId217"/><Relationship Type="http://schemas.openxmlformats.org/officeDocument/2006/relationships/hyperlink" Target="https://www.sec.gov/Archives/edgar/data/320187/000032018726000088/0000320187-26-000088-index.htm" TargetMode="External" Id="rId218"/><Relationship Type="http://schemas.openxmlformats.org/officeDocument/2006/relationships/hyperlink" Target="https://www.sec.gov/Archives/edgar/data/320187/000032018721000028/0000320187-21-000028-index.htm" TargetMode="External" Id="rId219"/><Relationship Type="http://schemas.openxmlformats.org/officeDocument/2006/relationships/hyperlink" Target="https://www.sec.gov/Archives/edgar/data/320187/000032018722000038/0000320187-22-000038-index.htm" TargetMode="External" Id="rId220"/><Relationship Type="http://schemas.openxmlformats.org/officeDocument/2006/relationships/hyperlink" Target="https://www.sec.gov/Archives/edgar/data/320187/000032018723000039/0000320187-23-000039-index.htm" TargetMode="External" Id="rId221"/><Relationship Type="http://schemas.openxmlformats.org/officeDocument/2006/relationships/hyperlink" Target="https://www.sec.gov/Archives/edgar/data/320187/000032018724000044/0000320187-24-000044-index.htm" TargetMode="External" Id="rId222"/><Relationship Type="http://schemas.openxmlformats.org/officeDocument/2006/relationships/hyperlink" Target="https://www.sec.gov/Archives/edgar/data/320187/000032018725000047/0000320187-25-000047-index.htm" TargetMode="External" Id="rId223"/><Relationship Type="http://schemas.openxmlformats.org/officeDocument/2006/relationships/hyperlink" Target="https://www.sec.gov/Archives/edgar/data/320187/000032018726000088/0000320187-26-000088-index.htm" TargetMode="External" Id="rId224"/><Relationship Type="http://schemas.openxmlformats.org/officeDocument/2006/relationships/hyperlink" Target="https://www.sec.gov/Archives/edgar/data/320187/000032018726000088/0000320187-26-000088-index.htm" TargetMode="External" Id="rId225"/><Relationship Type="http://schemas.openxmlformats.org/officeDocument/2006/relationships/hyperlink" Target="https://www.sec.gov/Archives/edgar/data/320187/000032018726000088/0000320187-26-000088-index.htm" TargetMode="External" Id="rId226"/><Relationship Type="http://schemas.openxmlformats.org/officeDocument/2006/relationships/hyperlink" Target="https://www.sec.gov/Archives/edgar/data/320187/000032018721000028/0000320187-21-000028-index.htm" TargetMode="External" Id="rId227"/><Relationship Type="http://schemas.openxmlformats.org/officeDocument/2006/relationships/hyperlink" Target="https://www.sec.gov/Archives/edgar/data/320187/000032018722000038/0000320187-22-000038-index.htm" TargetMode="External" Id="rId228"/><Relationship Type="http://schemas.openxmlformats.org/officeDocument/2006/relationships/hyperlink" Target="https://www.sec.gov/Archives/edgar/data/320187/000032018723000039/0000320187-23-000039-index.htm" TargetMode="External" Id="rId229"/><Relationship Type="http://schemas.openxmlformats.org/officeDocument/2006/relationships/hyperlink" Target="https://www.sec.gov/Archives/edgar/data/320187/000032018724000044/0000320187-24-000044-index.htm" TargetMode="External" Id="rId230"/><Relationship Type="http://schemas.openxmlformats.org/officeDocument/2006/relationships/hyperlink" Target="https://www.sec.gov/Archives/edgar/data/320187/000032018725000047/0000320187-25-000047-index.htm" TargetMode="External" Id="rId231"/><Relationship Type="http://schemas.openxmlformats.org/officeDocument/2006/relationships/hyperlink" Target="https://www.sec.gov/Archives/edgar/data/320187/000032018726000088/0000320187-26-000088-index.htm" TargetMode="External" Id="rId232"/><Relationship Type="http://schemas.openxmlformats.org/officeDocument/2006/relationships/hyperlink" Target="https://www.sec.gov/Archives/edgar/data/320187/000032018726000088/0000320187-26-000088-index.htm" TargetMode="External" Id="rId233"/><Relationship Type="http://schemas.openxmlformats.org/officeDocument/2006/relationships/hyperlink" Target="https://www.sec.gov/Archives/edgar/data/320187/000032018726000088/0000320187-26-000088-index.htm" TargetMode="External" Id="rId234"/><Relationship Type="http://schemas.openxmlformats.org/officeDocument/2006/relationships/hyperlink" Target="https://www.sec.gov/Archives/edgar/data/320187/000032018720000047/0000320187-20-000047-index.htm" TargetMode="External" Id="rId235"/><Relationship Type="http://schemas.openxmlformats.org/officeDocument/2006/relationships/hyperlink" Target="https://www.sec.gov/Archives/edgar/data/320187/000032018721000028/0000320187-21-000028-index.htm" TargetMode="External" Id="rId236"/><Relationship Type="http://schemas.openxmlformats.org/officeDocument/2006/relationships/hyperlink" Target="https://www.sec.gov/Archives/edgar/data/320187/000032018722000038/0000320187-22-000038-index.htm" TargetMode="External" Id="rId237"/><Relationship Type="http://schemas.openxmlformats.org/officeDocument/2006/relationships/hyperlink" Target="https://www.sec.gov/Archives/edgar/data/320187/000032018723000039/0000320187-23-000039-index.htm" TargetMode="External" Id="rId238"/><Relationship Type="http://schemas.openxmlformats.org/officeDocument/2006/relationships/hyperlink" Target="https://www.sec.gov/Archives/edgar/data/320187/000032018724000044/0000320187-24-000044-index.htm" TargetMode="External" Id="rId239"/><Relationship Type="http://schemas.openxmlformats.org/officeDocument/2006/relationships/hyperlink" Target="https://www.sec.gov/Archives/edgar/data/320187/000032018725000047/0000320187-25-000047-index.htm" TargetMode="External" Id="rId240"/><Relationship Type="http://schemas.openxmlformats.org/officeDocument/2006/relationships/hyperlink" Target="https://www.sec.gov/Archives/edgar/data/320187/000032018725000047/0000320187-25-000047-index.htm" TargetMode="External" Id="rId241"/><Relationship Type="http://schemas.openxmlformats.org/officeDocument/2006/relationships/hyperlink" Target="https://www.sec.gov/Archives/edgar/data/320187/000032018720000047/0000320187-20-000047-index.htm" TargetMode="External" Id="rId242"/><Relationship Type="http://schemas.openxmlformats.org/officeDocument/2006/relationships/hyperlink" Target="https://www.sec.gov/Archives/edgar/data/320187/000032018721000028/0000320187-21-000028-index.htm" TargetMode="External" Id="rId243"/><Relationship Type="http://schemas.openxmlformats.org/officeDocument/2006/relationships/hyperlink" Target="https://www.sec.gov/Archives/edgar/data/320187/000032018721000028/0000320187-21-000028-index.htm" TargetMode="External" Id="rId244"/><Relationship Type="http://schemas.openxmlformats.org/officeDocument/2006/relationships/hyperlink" Target="https://www.sec.gov/Archives/edgar/data/320187/000032018723000039/0000320187-23-000039-index.htm" TargetMode="External" Id="rId245"/><Relationship Type="http://schemas.openxmlformats.org/officeDocument/2006/relationships/hyperlink" Target="https://www.sec.gov/Archives/edgar/data/320187/000032018724000044/0000320187-24-000044-index.htm" TargetMode="External" Id="rId246"/><Relationship Type="http://schemas.openxmlformats.org/officeDocument/2006/relationships/hyperlink" Target="https://www.sec.gov/Archives/edgar/data/320187/000032018725000047/0000320187-25-000047-index.htm" TargetMode="External" Id="rId247"/><Relationship Type="http://schemas.openxmlformats.org/officeDocument/2006/relationships/hyperlink" Target="https://www.sec.gov/Archives/edgar/data/320187/000032018726000088/0000320187-26-000088-index.htm" TargetMode="External" Id="rId248"/><Relationship Type="http://schemas.openxmlformats.org/officeDocument/2006/relationships/hyperlink" Target="https://www.sec.gov/Archives/edgar/data/320187/000032018726000088/0000320187-26-000088-index.htm" TargetMode="External" Id="rId249"/><Relationship Type="http://schemas.openxmlformats.org/officeDocument/2006/relationships/hyperlink" Target="https://www.sec.gov/Archives/edgar/data/320187/000032018720000047/0000320187-20-000047-index.htm" TargetMode="External" Id="rId250"/><Relationship Type="http://schemas.openxmlformats.org/officeDocument/2006/relationships/hyperlink" Target="https://www.sec.gov/Archives/edgar/data/320187/000032018721000028/0000320187-21-000028-index.htm" TargetMode="External" Id="rId251"/><Relationship Type="http://schemas.openxmlformats.org/officeDocument/2006/relationships/hyperlink" Target="https://www.sec.gov/Archives/edgar/data/320187/000032018722000038/0000320187-22-000038-index.htm" TargetMode="External" Id="rId252"/><Relationship Type="http://schemas.openxmlformats.org/officeDocument/2006/relationships/hyperlink" Target="https://www.sec.gov/Archives/edgar/data/320187/000032018723000039/0000320187-23-000039-index.htm" TargetMode="External" Id="rId253"/><Relationship Type="http://schemas.openxmlformats.org/officeDocument/2006/relationships/hyperlink" Target="https://www.sec.gov/Archives/edgar/data/320187/000032018724000044/0000320187-24-000044-index.htm" TargetMode="External" Id="rId254"/><Relationship Type="http://schemas.openxmlformats.org/officeDocument/2006/relationships/hyperlink" Target="https://www.sec.gov/Archives/edgar/data/320187/000032018725000047/0000320187-25-000047-index.htm" TargetMode="External" Id="rId255"/><Relationship Type="http://schemas.openxmlformats.org/officeDocument/2006/relationships/hyperlink" Target="https://www.sec.gov/Archives/edgar/data/320187/000032018726000088/0000320187-26-000088-index.htm" TargetMode="External" Id="rId256"/><Relationship Type="http://schemas.openxmlformats.org/officeDocument/2006/relationships/hyperlink" Target="https://www.sec.gov/Archives/edgar/data/320187/000032018726000088/0000320187-26-000088-index.htm" TargetMode="External" Id="rId257"/></Relationships>
</file>

<file path=xl/worksheets/sheet1.xml><?xml version="1.0" encoding="utf-8"?>
<worksheet xmlns="http://schemas.openxmlformats.org/spreadsheetml/2006/main">
  <sheetPr>
    <tabColor rgb="001F2A44"/>
    <outlinePr summaryBelow="1" summaryRight="1"/>
    <pageSetUpPr/>
  </sheetPr>
  <dimension ref="B2:C27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60" customWidth="1" min="4" max="4"/>
  </cols>
  <sheetData>
    <row r="2">
      <c r="B2" s="1" t="inlineStr">
        <is>
          <t>TICKER-TO-THESIS · EQUITY RESEARCH MODEL</t>
        </is>
      </c>
    </row>
    <row r="4">
      <c r="B4" s="2" t="inlineStr">
        <is>
          <t>NIKE, Inc. (NKE)</t>
        </is>
      </c>
    </row>
    <row r="5">
      <c r="B5" s="3" t="inlineStr">
        <is>
          <t>Rubber &amp; Plastics Footwear · fiscal year ends 05/31 · model date 2026-10-12 · Abhishek Raut</t>
        </is>
      </c>
    </row>
    <row r="7">
      <c r="B7" s="4" t="inlineStr">
        <is>
          <t>Rating</t>
        </is>
      </c>
      <c r="C7" s="5">
        <f>Valuation!$C$20</f>
        <v/>
      </c>
    </row>
    <row r="8">
      <c r="B8" s="4" t="inlineStr">
        <is>
          <t>Price target ($)</t>
        </is>
      </c>
      <c r="C8" s="6">
        <f>Valuation!$C$17</f>
        <v/>
      </c>
    </row>
    <row r="9">
      <c r="B9" s="4" t="inlineStr">
        <is>
          <t>Current price ($)</t>
        </is>
      </c>
      <c r="C9" s="6">
        <f>Assumptions!$C$17</f>
        <v/>
      </c>
    </row>
    <row r="10">
      <c r="B10" s="4" t="inlineStr">
        <is>
          <t>Upside / (downside)</t>
        </is>
      </c>
      <c r="C10" s="7">
        <f>Valuation!$C$19</f>
        <v/>
      </c>
    </row>
    <row r="11">
      <c r="B11" s="4" t="inlineStr">
        <is>
          <t>Market cap ($m)</t>
        </is>
      </c>
      <c r="C11" s="8">
        <f>Assumptions!$C$23</f>
        <v/>
      </c>
    </row>
    <row r="12">
      <c r="B12" s="4" t="inlineStr">
        <is>
          <t>Enterprise value ($m)</t>
        </is>
      </c>
      <c r="C12" s="8">
        <f>Assumptions!$C$23+Assumptions!$C$22</f>
        <v/>
      </c>
    </row>
    <row r="13">
      <c r="B13" s="4" t="inlineStr">
        <is>
          <t>WACC</t>
        </is>
      </c>
      <c r="C13" s="7">
        <f>WACC!$C$25</f>
        <v/>
      </c>
    </row>
    <row r="14">
      <c r="B14" s="4" t="inlineStr">
        <is>
          <t>DCF value per share, perpetuity ($)</t>
        </is>
      </c>
      <c r="C14" s="6">
        <f>DCF!$C$32</f>
        <v/>
      </c>
    </row>
    <row r="15">
      <c r="B15" s="4" t="inlineStr">
        <is>
          <t>DCF value per share, exit multiple ($)</t>
        </is>
      </c>
      <c r="C15" s="6">
        <f>DCF!$C$42</f>
        <v/>
      </c>
    </row>
    <row r="18">
      <c r="B18" s="9" t="inlineStr">
        <is>
          <t>How to use this model</t>
        </is>
      </c>
    </row>
    <row r="19">
      <c r="B19" s="10" t="inlineStr">
        <is>
          <t>1. Assumptions: change blue/yellow cells (growth, margins, ERP, terminal growth, exit multiple) or switch the scenario.</t>
        </is>
      </c>
    </row>
    <row r="20">
      <c r="B20" s="10" t="inlineStr">
        <is>
          <t>2. DCF and Sensitivity recalculate live; Valuation shows the football field, blended price target and rating.</t>
        </is>
      </c>
    </row>
    <row r="21">
      <c r="B21" s="10" t="inlineStr">
        <is>
          <t>3. Comps: peer multiples and implied values. Benchmark: target vs peer distribution and trends.</t>
        </is>
      </c>
    </row>
    <row r="22">
      <c r="B22" s="10" t="inlineStr">
        <is>
          <t>4. Sources: the XBRL tag and SEC filing behind every historical number.</t>
        </is>
      </c>
    </row>
    <row r="23">
      <c r="B23" s="10" t="inlineStr">
        <is>
          <t>5. Colour code: blue = input, black = formula, green = link to another sheet, yellow fill = key assumption.</t>
        </is>
      </c>
    </row>
    <row r="27">
      <c r="B27" s="11" t="inlineStr">
        <is>
          <t>Educational project generated from public SEC filings and market data.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AA5B8"/>
    <outlinePr summaryBelow="1" summaryRight="1"/>
    <pageSetUpPr/>
  </sheetPr>
  <dimension ref="B1:H46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70" customWidth="1" min="8" max="8"/>
  </cols>
  <sheetData>
    <row r="1">
      <c r="B1" s="12" t="inlineStr">
        <is>
          <t>NIKE, Inc. (NKE): assumptions</t>
        </is>
      </c>
    </row>
    <row r="2">
      <c r="B2" s="3" t="inlineStr">
        <is>
          <t>Blue = input. Yellow = key assumption. Edit these cells; everything else recalculates.</t>
        </is>
      </c>
    </row>
    <row r="3">
      <c r="B3" s="9" t="inlineStr">
        <is>
          <t>Scenario</t>
        </is>
      </c>
    </row>
    <row r="4">
      <c r="B4" s="10" t="inlineStr">
        <is>
          <t>Active scenario (1 = Base, 2 = Bear, 3 = Bull)</t>
        </is>
      </c>
      <c r="C4" s="13" t="n">
        <v>1</v>
      </c>
    </row>
    <row r="6">
      <c r="B6" s="9" t="inlineStr">
        <is>
          <t>Market &amp; valuation inputs</t>
        </is>
      </c>
    </row>
    <row r="7">
      <c r="B7" s="10" t="inlineStr">
        <is>
          <t>Risk-free rate (10-year Treasury)</t>
        </is>
      </c>
      <c r="C7" s="14" t="n">
        <v>0.0522</v>
      </c>
      <c r="H7" s="3" t="inlineStr">
        <is>
          <t>FRED DGS10 (10-year Treasury), 2026-10-08</t>
        </is>
      </c>
    </row>
    <row r="8">
      <c r="B8" s="10" t="inlineStr">
        <is>
          <t>Equity risk premium</t>
        </is>
      </c>
      <c r="C8" s="15" t="n">
        <v>0.045</v>
      </c>
      <c r="H8" s="3" t="inlineStr">
        <is>
          <t>Config assumption; update from Damodaran's latest implied ERP.</t>
        </is>
      </c>
    </row>
    <row r="9">
      <c r="B9" s="10" t="inlineStr">
        <is>
          <t>Marginal tax rate (debt shield, beta unlevering)</t>
        </is>
      </c>
      <c r="C9" s="14" t="n">
        <v>0.25</v>
      </c>
      <c r="H9" s="3" t="inlineStr">
        <is>
          <t>US federal 21% + typical state.</t>
        </is>
      </c>
    </row>
    <row r="10">
      <c r="B10" s="10" t="inlineStr">
        <is>
          <t>Credit spread (synthetic rating AAA)</t>
        </is>
      </c>
      <c r="C10" s="14" t="n">
        <v>0.006</v>
      </c>
      <c r="H10" s="3" t="inlineStr">
        <is>
          <t>Interest coverage 11.8x maps to AAA; spread after Damodaran's table (approximate).</t>
        </is>
      </c>
    </row>
    <row r="11">
      <c r="B11" s="10" t="inlineStr">
        <is>
          <t>Terminal growth rate</t>
        </is>
      </c>
      <c r="C11" s="15" t="n">
        <v>0.025</v>
      </c>
      <c r="H11" s="3" t="inlineStr">
        <is>
          <t>Long-run nominal growth assumption (config).</t>
        </is>
      </c>
    </row>
    <row r="12">
      <c r="B12" s="10" t="inlineStr">
        <is>
          <t>Exit multiple (EV / EBITDA)</t>
        </is>
      </c>
      <c r="C12" s="16" t="n">
        <v>8.565206893386181</v>
      </c>
      <c r="H12" s="3" t="inlineStr">
        <is>
          <t>Peer median EV / EBITDA (latest fiscal year).</t>
        </is>
      </c>
    </row>
    <row r="13">
      <c r="B13" s="10" t="inlineStr">
        <is>
          <t>Minimum WACC spread over terminal growth</t>
        </is>
      </c>
      <c r="C13" s="14" t="n">
        <v>0.02</v>
      </c>
      <c r="H13" s="3" t="inlineStr">
        <is>
          <t>Sanity floor.</t>
        </is>
      </c>
    </row>
    <row r="14">
      <c r="B14" s="10" t="inlineStr">
        <is>
          <t>Mid-year discounting (1 = on, 0 = off)</t>
        </is>
      </c>
      <c r="C14" s="17" t="n">
        <v>1</v>
      </c>
      <c r="H14" s="3" t="inlineStr">
        <is>
          <t>Cash flows arrive mid-year on average.</t>
        </is>
      </c>
    </row>
    <row r="16">
      <c r="B16" s="9" t="inlineStr">
        <is>
          <t>Market data (latest balance sheet 2026-08-31; $m except per share)</t>
        </is>
      </c>
    </row>
    <row r="17">
      <c r="B17" s="10" t="inlineStr">
        <is>
          <t>Share price ($)</t>
        </is>
      </c>
      <c r="C17" s="18" t="n">
        <v>35.05500030517578</v>
      </c>
      <c r="H17" s="3" t="inlineStr">
        <is>
          <t>Latest close, 2026-10-12.</t>
        </is>
      </c>
    </row>
    <row r="18">
      <c r="B18" s="10" t="inlineStr">
        <is>
          <t>Shares outstanding (m)</t>
        </is>
      </c>
      <c r="C18" s="19" t="n">
        <v>1484.2</v>
      </c>
      <c r="H18" s="3" t="inlineStr">
        <is>
          <t>WeightedAverageNumberOfDilutedSharesOutstanding (latest period), 2026-08-31.</t>
        </is>
      </c>
    </row>
    <row r="19">
      <c r="B19" s="10" t="inlineStr">
        <is>
          <t>Cash &amp; equivalents</t>
        </is>
      </c>
      <c r="C19" s="20" t="n">
        <v>6903</v>
      </c>
      <c r="H19" s="3" t="inlineStr">
        <is>
          <t>Latest 10-Q/10-K.</t>
        </is>
      </c>
    </row>
    <row r="20">
      <c r="B20" s="10" t="inlineStr">
        <is>
          <t>Short-term investments</t>
        </is>
      </c>
      <c r="C20" s="20" t="n">
        <v>1465</v>
      </c>
      <c r="H20" s="3" t="inlineStr">
        <is>
          <t>Latest 10-Q/10-K.</t>
        </is>
      </c>
    </row>
    <row r="21">
      <c r="B21" s="10" t="inlineStr">
        <is>
          <t>Total debt (excl. operating leases)</t>
        </is>
      </c>
      <c r="C21" s="20" t="n">
        <v>7893</v>
      </c>
      <c r="H21" s="3" t="inlineStr">
        <is>
          <t>Long-term debt incl. current portion + short-term borrowings.</t>
        </is>
      </c>
    </row>
    <row r="22">
      <c r="B22" s="21" t="inlineStr">
        <is>
          <t>Net debt</t>
        </is>
      </c>
      <c r="C22" s="22">
        <f>Assumptions!$C$21-Assumptions!$C$19-Assumptions!$C$20</f>
        <v/>
      </c>
    </row>
    <row r="23">
      <c r="B23" s="21" t="inlineStr">
        <is>
          <t>Market capitalisation</t>
        </is>
      </c>
      <c r="C23" s="22">
        <f>Assumptions!$C$17*Assumptions!$C$18</f>
        <v/>
      </c>
    </row>
    <row r="25">
      <c r="B25" s="9" t="inlineStr">
        <is>
          <t>Operating drivers (base case)</t>
        </is>
      </c>
    </row>
    <row r="26">
      <c r="B26" s="23" t="inlineStr">
        <is>
          <t>Driver</t>
        </is>
      </c>
      <c r="C26" s="24" t="inlineStr">
        <is>
          <t>Year 1</t>
        </is>
      </c>
      <c r="D26" s="24" t="inlineStr">
        <is>
          <t>Year 2</t>
        </is>
      </c>
      <c r="E26" s="24" t="inlineStr">
        <is>
          <t>Year 3</t>
        </is>
      </c>
      <c r="F26" s="24" t="inlineStr">
        <is>
          <t>Year 4</t>
        </is>
      </c>
      <c r="G26" s="24" t="inlineStr">
        <is>
          <t>Year 5</t>
        </is>
      </c>
    </row>
    <row r="27">
      <c r="B27" s="10" t="inlineStr">
        <is>
          <t>Revenue growth</t>
        </is>
      </c>
      <c r="C27" s="15" t="n">
        <v>-0.08</v>
      </c>
      <c r="D27" s="15" t="n">
        <v>0.02</v>
      </c>
      <c r="E27" s="15" t="n">
        <v>0.04</v>
      </c>
      <c r="F27" s="15" t="n">
        <v>0.05</v>
      </c>
      <c r="G27" s="15" t="n">
        <v>0.04</v>
      </c>
      <c r="H27" s="3" t="inlineStr">
        <is>
          <t>FY27 = guidance (revenue down high-single digits, Q1 FY27 release); modest recovery thereafter as China stabilises.</t>
        </is>
      </c>
    </row>
    <row r="28">
      <c r="B28" s="10" t="inlineStr">
        <is>
          <t>EBIT margin</t>
        </is>
      </c>
      <c r="C28" s="15" t="n">
        <v>0.05</v>
      </c>
      <c r="D28" s="15" t="n">
        <v>0.07000000000000001</v>
      </c>
      <c r="E28" s="15" t="n">
        <v>0.09</v>
      </c>
      <c r="F28" s="15" t="n">
        <v>0.105</v>
      </c>
      <c r="G28" s="15" t="n">
        <v>0.115</v>
      </c>
      <c r="H28" s="3" t="inlineStr">
        <is>
          <t>FY27 ~5% implied by adj. EPS guidance of $1.15-1.35; rebuilds to 11.5% by FY31 as ~$2.5bn Pace savings land (below FY21-24 avg of ~13.5%).</t>
        </is>
      </c>
    </row>
    <row r="29">
      <c r="B29" s="10" t="inlineStr">
        <is>
          <t>Tax rate on EBIT</t>
        </is>
      </c>
      <c r="C29" s="14" t="n">
        <v>0.24</v>
      </c>
      <c r="H29" s="3" t="inlineStr">
        <is>
          <t>Management guides a mid-20s effective tax rate for FY27.</t>
        </is>
      </c>
    </row>
    <row r="30">
      <c r="B30" s="10" t="inlineStr">
        <is>
          <t>D&amp;A % revenue</t>
        </is>
      </c>
      <c r="C30" s="14" t="n">
        <v>0.01611102618753568</v>
      </c>
      <c r="H30" s="3" t="inlineStr">
        <is>
          <t>3-year average D&amp;A / revenue.</t>
        </is>
      </c>
    </row>
    <row r="31">
      <c r="B31" s="10" t="inlineStr">
        <is>
          <t>Capex % revenue</t>
        </is>
      </c>
      <c r="C31" s="14" t="n">
        <v>0.01327894001076627</v>
      </c>
      <c r="H31" s="3" t="inlineStr">
        <is>
          <t>3-year average capex / revenue.</t>
        </is>
      </c>
    </row>
    <row r="32">
      <c r="B32" s="10" t="inlineStr">
        <is>
          <t>Working capital % revenue</t>
        </is>
      </c>
      <c r="C32" s="14" t="n">
        <v>0.1924778707782522</v>
      </c>
      <c r="H32" s="3" t="inlineStr">
        <is>
          <t>3-year average operating working capital (receivables + inventory − payables) / revenue.</t>
        </is>
      </c>
    </row>
    <row r="34">
      <c r="B34" s="9" t="inlineStr">
        <is>
          <t>Scenario shifts (added to base case)</t>
        </is>
      </c>
    </row>
    <row r="35">
      <c r="B35" s="23" t="inlineStr">
        <is>
          <t>Shift</t>
        </is>
      </c>
      <c r="C35" s="24" t="inlineStr">
        <is>
          <t>Base</t>
        </is>
      </c>
      <c r="D35" s="24" t="inlineStr">
        <is>
          <t>Bear</t>
        </is>
      </c>
      <c r="E35" s="24" t="inlineStr">
        <is>
          <t>Bull</t>
        </is>
      </c>
    </row>
    <row r="36">
      <c r="B36" s="10" t="inlineStr">
        <is>
          <t>Revenue growth (each year)</t>
        </is>
      </c>
      <c r="C36" s="14" t="n">
        <v>0</v>
      </c>
      <c r="D36" s="14" t="n">
        <v>-0.03</v>
      </c>
      <c r="E36" s="14" t="n">
        <v>0.03</v>
      </c>
    </row>
    <row r="37">
      <c r="B37" s="10" t="inlineStr">
        <is>
          <t>EBIT margin (each year)</t>
        </is>
      </c>
      <c r="C37" s="14" t="n">
        <v>0</v>
      </c>
      <c r="D37" s="14" t="n">
        <v>-0.02</v>
      </c>
      <c r="E37" s="14" t="n">
        <v>0.02</v>
      </c>
    </row>
    <row r="38">
      <c r="B38" s="10" t="inlineStr">
        <is>
          <t>WACC</t>
        </is>
      </c>
      <c r="C38" s="14" t="n">
        <v>0</v>
      </c>
      <c r="D38" s="14" t="n">
        <v>0.01</v>
      </c>
      <c r="E38" s="14" t="n">
        <v>-0.01</v>
      </c>
    </row>
    <row r="39">
      <c r="B39" s="10" t="inlineStr">
        <is>
          <t>Terminal growth</t>
        </is>
      </c>
      <c r="C39" s="14" t="n">
        <v>0</v>
      </c>
      <c r="D39" s="14" t="n">
        <v>-0.005</v>
      </c>
      <c r="E39" s="14" t="n">
        <v>0.005</v>
      </c>
    </row>
    <row r="41">
      <c r="B41" s="9" t="inlineStr">
        <is>
          <t>Price target weights &amp; rating thresholds</t>
        </is>
      </c>
    </row>
    <row r="42">
      <c r="B42" s="10" t="inlineStr">
        <is>
          <t>Weight: DCF (perpetuity growth)</t>
        </is>
      </c>
      <c r="C42" s="14" t="n">
        <v>0.5</v>
      </c>
    </row>
    <row r="43">
      <c r="B43" s="10" t="inlineStr">
        <is>
          <t>Weight: DCF (exit multiple)</t>
        </is>
      </c>
      <c r="C43" s="14" t="n">
        <v>0.25</v>
      </c>
    </row>
    <row r="44">
      <c r="B44" s="10" t="inlineStr">
        <is>
          <t>Weight: trading comps (EV/EBITDA median)</t>
        </is>
      </c>
      <c r="C44" s="14" t="n">
        <v>0.25</v>
      </c>
    </row>
    <row r="45">
      <c r="B45" s="10" t="inlineStr">
        <is>
          <t>BUY if upside above</t>
        </is>
      </c>
      <c r="C45" s="14" t="n">
        <v>0.15</v>
      </c>
    </row>
    <row r="46">
      <c r="B46" s="10" t="inlineStr">
        <is>
          <t>SELL if upside below</t>
        </is>
      </c>
      <c r="C46" s="14" t="n">
        <v>-0.1</v>
      </c>
    </row>
  </sheetData>
  <dataValidations count="1">
    <dataValidation sqref="C4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A5B8"/>
    <outlinePr summaryBelow="1" summaryRight="1"/>
    <pageSetUpPr/>
  </sheetPr>
  <dimension ref="B1:J43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B1" s="12" t="inlineStr">
        <is>
          <t>NIKE, Inc.: standardised historical financials ($m)</t>
        </is>
      </c>
    </row>
    <row r="2">
      <c r="B2" s="3" t="inlineStr">
        <is>
          <t>Source: SEC EDGAR XBRL (10-K). See Sources sheet for the tag and filing behind every value.</t>
        </is>
      </c>
    </row>
    <row r="4">
      <c r="B4" s="23" t="inlineStr">
        <is>
          <t>Fiscal year</t>
        </is>
      </c>
      <c r="C4" s="24" t="inlineStr">
        <is>
          <t>FY2019</t>
        </is>
      </c>
      <c r="D4" s="24" t="inlineStr">
        <is>
          <t>FY2020</t>
        </is>
      </c>
      <c r="E4" s="24" t="inlineStr">
        <is>
          <t>FY2021</t>
        </is>
      </c>
      <c r="F4" s="24" t="inlineStr">
        <is>
          <t>FY2022</t>
        </is>
      </c>
      <c r="G4" s="24" t="inlineStr">
        <is>
          <t>FY2023</t>
        </is>
      </c>
      <c r="H4" s="24" t="inlineStr">
        <is>
          <t>FY2024</t>
        </is>
      </c>
      <c r="I4" s="24" t="inlineStr">
        <is>
          <t>FY2025</t>
        </is>
      </c>
      <c r="J4" s="24" t="inlineStr">
        <is>
          <t>FY2026</t>
        </is>
      </c>
    </row>
    <row r="5">
      <c r="B5" s="21" t="inlineStr">
        <is>
          <t>Revenue</t>
        </is>
      </c>
      <c r="C5" s="20" t="n">
        <v>39117</v>
      </c>
      <c r="D5" s="20" t="n">
        <v>37403</v>
      </c>
      <c r="E5" s="20" t="n">
        <v>44538</v>
      </c>
      <c r="F5" s="20" t="n">
        <v>46710</v>
      </c>
      <c r="G5" s="20" t="n">
        <v>51217</v>
      </c>
      <c r="H5" s="20" t="n">
        <v>51362</v>
      </c>
      <c r="I5" s="20" t="n">
        <v>46309</v>
      </c>
      <c r="J5" s="20" t="n">
        <v>46398</v>
      </c>
    </row>
    <row r="6">
      <c r="B6" s="10" t="inlineStr">
        <is>
          <t>Cost of revenue</t>
        </is>
      </c>
      <c r="C6" s="20" t="n">
        <v>21643</v>
      </c>
      <c r="D6" s="20" t="n">
        <v>21162</v>
      </c>
      <c r="E6" s="20" t="n">
        <v>24576</v>
      </c>
      <c r="F6" s="20" t="n">
        <v>25231</v>
      </c>
      <c r="G6" s="20" t="n">
        <v>28925</v>
      </c>
      <c r="H6" s="20" t="n">
        <v>28475</v>
      </c>
      <c r="I6" s="20" t="n">
        <v>26519</v>
      </c>
      <c r="J6" s="20" t="n">
        <v>26487</v>
      </c>
    </row>
    <row r="7">
      <c r="B7" s="10" t="inlineStr">
        <is>
          <t>Gross profit</t>
        </is>
      </c>
      <c r="C7" s="20" t="n">
        <v>17474</v>
      </c>
      <c r="D7" s="20" t="n">
        <v>16241</v>
      </c>
      <c r="E7" s="20" t="n">
        <v>19962</v>
      </c>
      <c r="F7" s="20" t="n">
        <v>21479</v>
      </c>
      <c r="G7" s="20" t="n">
        <v>22292</v>
      </c>
      <c r="H7" s="20" t="n">
        <v>22887</v>
      </c>
      <c r="I7" s="20" t="n">
        <v>19790</v>
      </c>
      <c r="J7" s="20" t="n">
        <v>19911</v>
      </c>
    </row>
    <row r="8">
      <c r="B8" s="21" t="inlineStr">
        <is>
          <t>Operating income (EBIT)</t>
        </is>
      </c>
      <c r="C8" s="20" t="n">
        <v>4772</v>
      </c>
      <c r="D8" s="20" t="n">
        <v>3115</v>
      </c>
      <c r="E8" s="20" t="n">
        <v>6937</v>
      </c>
      <c r="F8" s="20" t="n">
        <v>6675</v>
      </c>
      <c r="G8" s="20" t="n">
        <v>5915</v>
      </c>
      <c r="H8" s="20" t="n">
        <v>6311</v>
      </c>
      <c r="I8" s="20" t="n">
        <v>3702</v>
      </c>
      <c r="J8" s="20" t="n">
        <v>3797</v>
      </c>
    </row>
    <row r="9">
      <c r="B9" s="10" t="inlineStr">
        <is>
          <t>Depreciation &amp; amortisation</t>
        </is>
      </c>
      <c r="C9" s="20" t="n">
        <v>705</v>
      </c>
      <c r="D9" s="20" t="n">
        <v>721</v>
      </c>
      <c r="E9" s="20" t="n">
        <v>744</v>
      </c>
      <c r="F9" s="20" t="n">
        <v>717</v>
      </c>
      <c r="G9" s="20" t="n">
        <v>703</v>
      </c>
      <c r="H9" s="20" t="n">
        <v>796</v>
      </c>
      <c r="I9" s="20" t="n">
        <v>775</v>
      </c>
      <c r="J9" s="20" t="n">
        <v>747</v>
      </c>
    </row>
    <row r="10">
      <c r="B10" s="21" t="inlineStr">
        <is>
          <t>EBITDA</t>
        </is>
      </c>
      <c r="C10" s="25">
        <f>C8+C9</f>
        <v/>
      </c>
      <c r="D10" s="25">
        <f>D8+D9</f>
        <v/>
      </c>
      <c r="E10" s="25">
        <f>E8+E9</f>
        <v/>
      </c>
      <c r="F10" s="25">
        <f>F8+F9</f>
        <v/>
      </c>
      <c r="G10" s="25">
        <f>G8+G9</f>
        <v/>
      </c>
      <c r="H10" s="25">
        <f>H8+H9</f>
        <v/>
      </c>
      <c r="I10" s="25">
        <f>I8+I9</f>
        <v/>
      </c>
      <c r="J10" s="25">
        <f>J8+J9</f>
        <v/>
      </c>
    </row>
    <row r="11">
      <c r="B11" s="10" t="inlineStr">
        <is>
          <t>Interest expense</t>
        </is>
      </c>
      <c r="C11" s="20" t="n">
        <v>153</v>
      </c>
      <c r="D11" s="20" t="n">
        <v>140</v>
      </c>
      <c r="E11" s="20" t="n">
        <v>293</v>
      </c>
      <c r="F11" s="20" t="n">
        <v>290</v>
      </c>
      <c r="G11" s="20" t="n">
        <v>347</v>
      </c>
      <c r="H11" s="20" t="n">
        <v>381</v>
      </c>
      <c r="I11" s="20" t="n">
        <v>389</v>
      </c>
      <c r="J11" s="20" t="n">
        <v>323</v>
      </c>
    </row>
    <row r="12">
      <c r="B12" s="10" t="inlineStr">
        <is>
          <t>Pre-tax income</t>
        </is>
      </c>
      <c r="C12" s="20" t="n">
        <v>4801</v>
      </c>
      <c r="D12" s="20" t="n">
        <v>2887</v>
      </c>
      <c r="E12" s="20" t="n">
        <v>6661</v>
      </c>
      <c r="F12" s="20" t="n">
        <v>6651</v>
      </c>
      <c r="G12" s="20" t="n">
        <v>6201</v>
      </c>
      <c r="H12" s="20" t="n">
        <v>6700</v>
      </c>
      <c r="I12" s="20" t="n">
        <v>3885</v>
      </c>
      <c r="J12" s="20" t="n">
        <v>3900</v>
      </c>
    </row>
    <row r="13">
      <c r="B13" s="10" t="inlineStr">
        <is>
          <t>Income tax</t>
        </is>
      </c>
      <c r="C13" s="20" t="n">
        <v>772</v>
      </c>
      <c r="D13" s="20" t="n">
        <v>348</v>
      </c>
      <c r="E13" s="20" t="n">
        <v>934</v>
      </c>
      <c r="F13" s="20" t="n">
        <v>605</v>
      </c>
      <c r="G13" s="20" t="n">
        <v>1131</v>
      </c>
      <c r="H13" s="20" t="n">
        <v>1000</v>
      </c>
      <c r="I13" s="20" t="n">
        <v>666</v>
      </c>
      <c r="J13" s="20" t="n">
        <v>792</v>
      </c>
    </row>
    <row r="14">
      <c r="B14" s="21" t="inlineStr">
        <is>
          <t>Net income</t>
        </is>
      </c>
      <c r="C14" s="20" t="n">
        <v>4029</v>
      </c>
      <c r="D14" s="20" t="n">
        <v>2539</v>
      </c>
      <c r="E14" s="20" t="n">
        <v>5727</v>
      </c>
      <c r="F14" s="20" t="n">
        <v>6046</v>
      </c>
      <c r="G14" s="20" t="n">
        <v>5070</v>
      </c>
      <c r="H14" s="20" t="n">
        <v>5700</v>
      </c>
      <c r="I14" s="20" t="n">
        <v>3219</v>
      </c>
      <c r="J14" s="20" t="n">
        <v>3108</v>
      </c>
    </row>
    <row r="15">
      <c r="B15" s="10" t="inlineStr">
        <is>
          <t>Cash from operations</t>
        </is>
      </c>
      <c r="C15" s="20" t="n">
        <v>5903</v>
      </c>
      <c r="D15" s="20" t="n">
        <v>2485</v>
      </c>
      <c r="E15" s="20" t="n">
        <v>6657</v>
      </c>
      <c r="F15" s="20" t="n">
        <v>5188</v>
      </c>
      <c r="G15" s="20" t="n">
        <v>5841</v>
      </c>
      <c r="H15" s="20" t="n">
        <v>7429</v>
      </c>
      <c r="I15" s="20" t="n">
        <v>3698</v>
      </c>
      <c r="J15" s="20" t="n">
        <v>2868</v>
      </c>
    </row>
    <row r="16">
      <c r="B16" s="10" t="inlineStr">
        <is>
          <t>Capital expenditure</t>
        </is>
      </c>
      <c r="C16" s="20" t="n">
        <v>1119</v>
      </c>
      <c r="D16" s="20" t="n">
        <v>1086</v>
      </c>
      <c r="E16" s="20" t="n">
        <v>695</v>
      </c>
      <c r="F16" s="20" t="n">
        <v>758</v>
      </c>
      <c r="G16" s="20" t="n">
        <v>969</v>
      </c>
      <c r="H16" s="20" t="n">
        <v>812</v>
      </c>
      <c r="I16" s="20" t="n">
        <v>430</v>
      </c>
      <c r="J16" s="20" t="n">
        <v>684</v>
      </c>
    </row>
    <row r="17">
      <c r="B17" s="21" t="inlineStr">
        <is>
          <t>Free cash flow</t>
        </is>
      </c>
      <c r="C17" s="25">
        <f>C15-C16</f>
        <v/>
      </c>
      <c r="D17" s="25">
        <f>D15-D16</f>
        <v/>
      </c>
      <c r="E17" s="25">
        <f>E15-E16</f>
        <v/>
      </c>
      <c r="F17" s="25">
        <f>F15-F16</f>
        <v/>
      </c>
      <c r="G17" s="25">
        <f>G15-G16</f>
        <v/>
      </c>
      <c r="H17" s="25">
        <f>H15-H16</f>
        <v/>
      </c>
      <c r="I17" s="25">
        <f>I15-I16</f>
        <v/>
      </c>
      <c r="J17" s="25">
        <f>J15-J16</f>
        <v/>
      </c>
    </row>
    <row r="18">
      <c r="B18" s="10" t="inlineStr">
        <is>
          <t>Stock-based compensation</t>
        </is>
      </c>
      <c r="C18" s="20" t="n">
        <v>325</v>
      </c>
      <c r="D18" s="20" t="n">
        <v>429</v>
      </c>
      <c r="E18" s="20" t="n">
        <v>611</v>
      </c>
      <c r="F18" s="20" t="n">
        <v>638</v>
      </c>
      <c r="G18" s="20" t="n">
        <v>755</v>
      </c>
      <c r="H18" s="20" t="n">
        <v>804</v>
      </c>
      <c r="I18" s="20" t="n">
        <v>709</v>
      </c>
      <c r="J18" s="20" t="n">
        <v>715</v>
      </c>
    </row>
    <row r="19">
      <c r="B19" s="10" t="inlineStr">
        <is>
          <t>Dividends paid</t>
        </is>
      </c>
      <c r="C19" s="20" t="n">
        <v>1332</v>
      </c>
      <c r="D19" s="20" t="n">
        <v>1452</v>
      </c>
      <c r="E19" s="20" t="n">
        <v>1638</v>
      </c>
      <c r="F19" s="20" t="n">
        <v>1837</v>
      </c>
      <c r="G19" s="20" t="n">
        <v>2012</v>
      </c>
      <c r="H19" s="20" t="n">
        <v>2169</v>
      </c>
      <c r="I19" s="20" t="n">
        <v>2300</v>
      </c>
      <c r="J19" s="20" t="n">
        <v>2407</v>
      </c>
    </row>
    <row r="20">
      <c r="B20" s="10" t="inlineStr">
        <is>
          <t>Share repurchases</t>
        </is>
      </c>
      <c r="C20" s="20" t="n">
        <v>4286</v>
      </c>
      <c r="D20" s="20" t="n">
        <v>3067</v>
      </c>
      <c r="E20" s="20" t="n">
        <v>608</v>
      </c>
      <c r="F20" s="20" t="n">
        <v>4014</v>
      </c>
      <c r="G20" s="20" t="n">
        <v>5480</v>
      </c>
      <c r="H20" s="20" t="n">
        <v>4250</v>
      </c>
      <c r="I20" s="20" t="n">
        <v>2985</v>
      </c>
      <c r="J20" s="20" t="n">
        <v>146</v>
      </c>
    </row>
    <row r="21">
      <c r="B21" s="10" t="inlineStr">
        <is>
          <t>Cash &amp; equivalents</t>
        </is>
      </c>
      <c r="C21" s="20" t="n">
        <v>4466</v>
      </c>
      <c r="D21" s="20" t="n">
        <v>8348</v>
      </c>
      <c r="E21" s="20" t="n">
        <v>9889</v>
      </c>
      <c r="F21" s="20" t="n">
        <v>8574</v>
      </c>
      <c r="G21" s="20" t="n">
        <v>7441</v>
      </c>
      <c r="H21" s="20" t="n">
        <v>9860</v>
      </c>
      <c r="I21" s="20" t="n">
        <v>7464</v>
      </c>
      <c r="J21" s="20" t="n">
        <v>7563</v>
      </c>
    </row>
    <row r="22">
      <c r="B22" s="10" t="inlineStr">
        <is>
          <t>Short-term investments</t>
        </is>
      </c>
      <c r="C22" s="20" t="n">
        <v>197</v>
      </c>
      <c r="D22" s="20" t="n">
        <v>439</v>
      </c>
      <c r="E22" s="20" t="n">
        <v>3587</v>
      </c>
      <c r="F22" s="20" t="n">
        <v>4423</v>
      </c>
      <c r="G22" s="20" t="n">
        <v>3234</v>
      </c>
      <c r="H22" s="20" t="n">
        <v>1722</v>
      </c>
      <c r="I22" s="20" t="n">
        <v>1687</v>
      </c>
      <c r="J22" s="20" t="n">
        <v>1464</v>
      </c>
    </row>
    <row r="23">
      <c r="B23" s="10" t="inlineStr">
        <is>
          <t>Accounts receivable</t>
        </is>
      </c>
      <c r="C23" s="20" t="n">
        <v>4272</v>
      </c>
      <c r="D23" s="20" t="n">
        <v>2749</v>
      </c>
      <c r="E23" s="20" t="n">
        <v>4463</v>
      </c>
      <c r="F23" s="20" t="n">
        <v>4667</v>
      </c>
      <c r="G23" s="20" t="n">
        <v>4131</v>
      </c>
      <c r="H23" s="20" t="n">
        <v>4427</v>
      </c>
      <c r="I23" s="20" t="n">
        <v>4717</v>
      </c>
      <c r="J23" s="20" t="n">
        <v>5931</v>
      </c>
    </row>
    <row r="24">
      <c r="B24" s="10" t="inlineStr">
        <is>
          <t>Inventory</t>
        </is>
      </c>
      <c r="C24" s="20" t="n">
        <v>5622</v>
      </c>
      <c r="D24" s="20" t="n">
        <v>7367</v>
      </c>
      <c r="E24" s="20" t="n">
        <v>6854</v>
      </c>
      <c r="F24" s="20" t="n">
        <v>8420</v>
      </c>
      <c r="G24" s="20" t="n">
        <v>8454</v>
      </c>
      <c r="H24" s="20" t="n">
        <v>7519</v>
      </c>
      <c r="I24" s="20" t="n">
        <v>7489</v>
      </c>
      <c r="J24" s="20" t="n">
        <v>7501</v>
      </c>
    </row>
    <row r="25">
      <c r="B25" s="10" t="inlineStr">
        <is>
          <t>Accounts payable</t>
        </is>
      </c>
      <c r="C25" s="20" t="n">
        <v>2612</v>
      </c>
      <c r="D25" s="20" t="n">
        <v>2248</v>
      </c>
      <c r="E25" s="20" t="n">
        <v>2836</v>
      </c>
      <c r="F25" s="20" t="n">
        <v>3358</v>
      </c>
      <c r="G25" s="20" t="n">
        <v>2862</v>
      </c>
      <c r="H25" s="20" t="n">
        <v>2851</v>
      </c>
      <c r="I25" s="20" t="n">
        <v>3479</v>
      </c>
      <c r="J25" s="20" t="n">
        <v>3600</v>
      </c>
    </row>
    <row r="26">
      <c r="B26" s="10" t="inlineStr">
        <is>
          <t>Total assets</t>
        </is>
      </c>
      <c r="C26" s="20" t="n">
        <v>23717</v>
      </c>
      <c r="D26" s="20" t="n">
        <v>31342</v>
      </c>
      <c r="E26" s="20" t="n">
        <v>37740</v>
      </c>
      <c r="F26" s="20" t="n">
        <v>40321</v>
      </c>
      <c r="G26" s="20" t="n">
        <v>37531</v>
      </c>
      <c r="H26" s="20" t="n">
        <v>38110</v>
      </c>
      <c r="I26" s="20" t="n">
        <v>36579</v>
      </c>
      <c r="J26" s="20" t="n">
        <v>38410</v>
      </c>
    </row>
    <row r="27">
      <c r="B27" s="10" t="inlineStr">
        <is>
          <t>Shareholders' equity</t>
        </is>
      </c>
      <c r="C27" s="20" t="n">
        <v>9040</v>
      </c>
      <c r="D27" s="20" t="n">
        <v>8055</v>
      </c>
      <c r="E27" s="20" t="n">
        <v>12767</v>
      </c>
      <c r="F27" s="20" t="n">
        <v>15281</v>
      </c>
      <c r="G27" s="20" t="n">
        <v>14004</v>
      </c>
      <c r="H27" s="20" t="n">
        <v>14430</v>
      </c>
      <c r="I27" s="20" t="n">
        <v>13213</v>
      </c>
      <c r="J27" s="20" t="n">
        <v>14865</v>
      </c>
    </row>
    <row r="28">
      <c r="B28" s="10" t="inlineStr">
        <is>
          <t>Total debt</t>
        </is>
      </c>
      <c r="C28" s="20" t="n">
        <v>3479</v>
      </c>
      <c r="D28" s="20" t="n">
        <v>9657</v>
      </c>
      <c r="E28" s="20" t="n">
        <v>9415</v>
      </c>
      <c r="F28" s="20" t="n">
        <v>9430</v>
      </c>
      <c r="G28" s="20" t="n">
        <v>8933</v>
      </c>
      <c r="H28" s="20" t="n">
        <v>8909</v>
      </c>
      <c r="I28" s="20" t="n">
        <v>7966</v>
      </c>
      <c r="J28" s="20" t="n">
        <v>7942</v>
      </c>
    </row>
    <row r="29">
      <c r="B29" s="10" t="inlineStr">
        <is>
          <t>Net debt</t>
        </is>
      </c>
      <c r="C29" s="25">
        <f>C28-C21-C22</f>
        <v/>
      </c>
      <c r="D29" s="25">
        <f>D28-D21-D22</f>
        <v/>
      </c>
      <c r="E29" s="25">
        <f>E28-E21-E22</f>
        <v/>
      </c>
      <c r="F29" s="25">
        <f>F28-F21-F22</f>
        <v/>
      </c>
      <c r="G29" s="25">
        <f>G28-G21-G22</f>
        <v/>
      </c>
      <c r="H29" s="25">
        <f>H28-H21-H22</f>
        <v/>
      </c>
      <c r="I29" s="25">
        <f>I28-I21-I22</f>
        <v/>
      </c>
      <c r="J29" s="25">
        <f>J28-J21-J22</f>
        <v/>
      </c>
    </row>
    <row r="30">
      <c r="B30" s="10" t="inlineStr">
        <is>
          <t>Operating working capital</t>
        </is>
      </c>
      <c r="C30" s="25">
        <f>C23+C24-C25</f>
        <v/>
      </c>
      <c r="D30" s="25">
        <f>D23+D24-D25</f>
        <v/>
      </c>
      <c r="E30" s="25">
        <f>E23+E24-E25</f>
        <v/>
      </c>
      <c r="F30" s="25">
        <f>F23+F24-F25</f>
        <v/>
      </c>
      <c r="G30" s="25">
        <f>G23+G24-G25</f>
        <v/>
      </c>
      <c r="H30" s="25">
        <f>H23+H24-H25</f>
        <v/>
      </c>
      <c r="I30" s="25">
        <f>I23+I24-I25</f>
        <v/>
      </c>
      <c r="J30" s="25">
        <f>J23+J24-J25</f>
        <v/>
      </c>
    </row>
    <row r="32">
      <c r="B32" s="9" t="inlineStr">
        <is>
          <t>Ratios (formulas)</t>
        </is>
      </c>
    </row>
    <row r="33">
      <c r="B33" s="10" t="inlineStr">
        <is>
          <t>Revenue growth</t>
        </is>
      </c>
      <c r="D33" s="26">
        <f>IFERROR(D5/C5-1,"")</f>
        <v/>
      </c>
      <c r="E33" s="26">
        <f>IFERROR(E5/D5-1,"")</f>
        <v/>
      </c>
      <c r="F33" s="26">
        <f>IFERROR(F5/E5-1,"")</f>
        <v/>
      </c>
      <c r="G33" s="26">
        <f>IFERROR(G5/F5-1,"")</f>
        <v/>
      </c>
      <c r="H33" s="26">
        <f>IFERROR(H5/G5-1,"")</f>
        <v/>
      </c>
      <c r="I33" s="26">
        <f>IFERROR(I5/H5-1,"")</f>
        <v/>
      </c>
      <c r="J33" s="26">
        <f>IFERROR(J5/I5-1,"")</f>
        <v/>
      </c>
    </row>
    <row r="34">
      <c r="B34" s="10" t="inlineStr">
        <is>
          <t>Gross margin</t>
        </is>
      </c>
      <c r="C34" s="26">
        <f>IFERROR(C7/C5,"")</f>
        <v/>
      </c>
      <c r="D34" s="26">
        <f>IFERROR(D7/D5,"")</f>
        <v/>
      </c>
      <c r="E34" s="26">
        <f>IFERROR(E7/E5,"")</f>
        <v/>
      </c>
      <c r="F34" s="26">
        <f>IFERROR(F7/F5,"")</f>
        <v/>
      </c>
      <c r="G34" s="26">
        <f>IFERROR(G7/G5,"")</f>
        <v/>
      </c>
      <c r="H34" s="26">
        <f>IFERROR(H7/H5,"")</f>
        <v/>
      </c>
      <c r="I34" s="26">
        <f>IFERROR(I7/I5,"")</f>
        <v/>
      </c>
      <c r="J34" s="26">
        <f>IFERROR(J7/J5,"")</f>
        <v/>
      </c>
    </row>
    <row r="35">
      <c r="B35" s="10" t="inlineStr">
        <is>
          <t>EBIT margin</t>
        </is>
      </c>
      <c r="C35" s="26">
        <f>IFERROR(C8/C5,"")</f>
        <v/>
      </c>
      <c r="D35" s="26">
        <f>IFERROR(D8/D5,"")</f>
        <v/>
      </c>
      <c r="E35" s="26">
        <f>IFERROR(E8/E5,"")</f>
        <v/>
      </c>
      <c r="F35" s="26">
        <f>IFERROR(F8/F5,"")</f>
        <v/>
      </c>
      <c r="G35" s="26">
        <f>IFERROR(G8/G5,"")</f>
        <v/>
      </c>
      <c r="H35" s="26">
        <f>IFERROR(H8/H5,"")</f>
        <v/>
      </c>
      <c r="I35" s="26">
        <f>IFERROR(I8/I5,"")</f>
        <v/>
      </c>
      <c r="J35" s="26">
        <f>IFERROR(J8/J5,"")</f>
        <v/>
      </c>
    </row>
    <row r="36">
      <c r="B36" s="10" t="inlineStr">
        <is>
          <t>EBITDA margin</t>
        </is>
      </c>
      <c r="C36" s="26">
        <f>IFERROR(C10/C5,"")</f>
        <v/>
      </c>
      <c r="D36" s="26">
        <f>IFERROR(D10/D5,"")</f>
        <v/>
      </c>
      <c r="E36" s="26">
        <f>IFERROR(E10/E5,"")</f>
        <v/>
      </c>
      <c r="F36" s="26">
        <f>IFERROR(F10/F5,"")</f>
        <v/>
      </c>
      <c r="G36" s="26">
        <f>IFERROR(G10/G5,"")</f>
        <v/>
      </c>
      <c r="H36" s="26">
        <f>IFERROR(H10/H5,"")</f>
        <v/>
      </c>
      <c r="I36" s="26">
        <f>IFERROR(I10/I5,"")</f>
        <v/>
      </c>
      <c r="J36" s="26">
        <f>IFERROR(J10/J5,"")</f>
        <v/>
      </c>
    </row>
    <row r="37">
      <c r="B37" s="10" t="inlineStr">
        <is>
          <t>Net margin</t>
        </is>
      </c>
      <c r="C37" s="26">
        <f>IFERROR(C14/C5,"")</f>
        <v/>
      </c>
      <c r="D37" s="26">
        <f>IFERROR(D14/D5,"")</f>
        <v/>
      </c>
      <c r="E37" s="26">
        <f>IFERROR(E14/E5,"")</f>
        <v/>
      </c>
      <c r="F37" s="26">
        <f>IFERROR(F14/F5,"")</f>
        <v/>
      </c>
      <c r="G37" s="26">
        <f>IFERROR(G14/G5,"")</f>
        <v/>
      </c>
      <c r="H37" s="26">
        <f>IFERROR(H14/H5,"")</f>
        <v/>
      </c>
      <c r="I37" s="26">
        <f>IFERROR(I14/I5,"")</f>
        <v/>
      </c>
      <c r="J37" s="26">
        <f>IFERROR(J14/J5,"")</f>
        <v/>
      </c>
    </row>
    <row r="38">
      <c r="B38" s="10" t="inlineStr">
        <is>
          <t>FCF margin</t>
        </is>
      </c>
      <c r="C38" s="26">
        <f>IFERROR(C17/C5,"")</f>
        <v/>
      </c>
      <c r="D38" s="26">
        <f>IFERROR(D17/D5,"")</f>
        <v/>
      </c>
      <c r="E38" s="26">
        <f>IFERROR(E17/E5,"")</f>
        <v/>
      </c>
      <c r="F38" s="26">
        <f>IFERROR(F17/F5,"")</f>
        <v/>
      </c>
      <c r="G38" s="26">
        <f>IFERROR(G17/G5,"")</f>
        <v/>
      </c>
      <c r="H38" s="26">
        <f>IFERROR(H17/H5,"")</f>
        <v/>
      </c>
      <c r="I38" s="26">
        <f>IFERROR(I17/I5,"")</f>
        <v/>
      </c>
      <c r="J38" s="26">
        <f>IFERROR(J17/J5,"")</f>
        <v/>
      </c>
    </row>
    <row r="39">
      <c r="B39" s="10" t="inlineStr">
        <is>
          <t>Effective tax rate</t>
        </is>
      </c>
      <c r="C39" s="26">
        <f>IFERROR(C13/C12,"")</f>
        <v/>
      </c>
      <c r="D39" s="26">
        <f>IFERROR(D13/D12,"")</f>
        <v/>
      </c>
      <c r="E39" s="26">
        <f>IFERROR(E13/E12,"")</f>
        <v/>
      </c>
      <c r="F39" s="26">
        <f>IFERROR(F13/F12,"")</f>
        <v/>
      </c>
      <c r="G39" s="26">
        <f>IFERROR(G13/G12,"")</f>
        <v/>
      </c>
      <c r="H39" s="26">
        <f>IFERROR(H13/H12,"")</f>
        <v/>
      </c>
      <c r="I39" s="26">
        <f>IFERROR(I13/I12,"")</f>
        <v/>
      </c>
      <c r="J39" s="26">
        <f>IFERROR(J13/J12,"")</f>
        <v/>
      </c>
    </row>
    <row r="40">
      <c r="B40" s="10" t="inlineStr">
        <is>
          <t>D&amp;A % revenue</t>
        </is>
      </c>
      <c r="C40" s="26">
        <f>IFERROR(C9/C5,"")</f>
        <v/>
      </c>
      <c r="D40" s="26">
        <f>IFERROR(D9/D5,"")</f>
        <v/>
      </c>
      <c r="E40" s="26">
        <f>IFERROR(E9/E5,"")</f>
        <v/>
      </c>
      <c r="F40" s="26">
        <f>IFERROR(F9/F5,"")</f>
        <v/>
      </c>
      <c r="G40" s="26">
        <f>IFERROR(G9/G5,"")</f>
        <v/>
      </c>
      <c r="H40" s="26">
        <f>IFERROR(H9/H5,"")</f>
        <v/>
      </c>
      <c r="I40" s="26">
        <f>IFERROR(I9/I5,"")</f>
        <v/>
      </c>
      <c r="J40" s="26">
        <f>IFERROR(J9/J5,"")</f>
        <v/>
      </c>
    </row>
    <row r="41">
      <c r="B41" s="10" t="inlineStr">
        <is>
          <t>Capex % revenue</t>
        </is>
      </c>
      <c r="C41" s="26">
        <f>IFERROR(C16/C5,"")</f>
        <v/>
      </c>
      <c r="D41" s="26">
        <f>IFERROR(D16/D5,"")</f>
        <v/>
      </c>
      <c r="E41" s="26">
        <f>IFERROR(E16/E5,"")</f>
        <v/>
      </c>
      <c r="F41" s="26">
        <f>IFERROR(F16/F5,"")</f>
        <v/>
      </c>
      <c r="G41" s="26">
        <f>IFERROR(G16/G5,"")</f>
        <v/>
      </c>
      <c r="H41" s="26">
        <f>IFERROR(H16/H5,"")</f>
        <v/>
      </c>
      <c r="I41" s="26">
        <f>IFERROR(I16/I5,"")</f>
        <v/>
      </c>
      <c r="J41" s="26">
        <f>IFERROR(J16/J5,"")</f>
        <v/>
      </c>
    </row>
    <row r="42">
      <c r="B42" s="10" t="inlineStr">
        <is>
          <t>Working capital % revenue</t>
        </is>
      </c>
      <c r="C42" s="26">
        <f>IFERROR(C30/C5,"")</f>
        <v/>
      </c>
      <c r="D42" s="26">
        <f>IFERROR(D30/D5,"")</f>
        <v/>
      </c>
      <c r="E42" s="26">
        <f>IFERROR(E30/E5,"")</f>
        <v/>
      </c>
      <c r="F42" s="26">
        <f>IFERROR(F30/F5,"")</f>
        <v/>
      </c>
      <c r="G42" s="26">
        <f>IFERROR(G30/G5,"")</f>
        <v/>
      </c>
      <c r="H42" s="26">
        <f>IFERROR(H30/H5,"")</f>
        <v/>
      </c>
      <c r="I42" s="26">
        <f>IFERROR(I30/I5,"")</f>
        <v/>
      </c>
      <c r="J42" s="26">
        <f>IFERROR(J30/J5,"")</f>
        <v/>
      </c>
    </row>
    <row r="43">
      <c r="B43" s="10" t="inlineStr">
        <is>
          <t>Net debt / EBITDA</t>
        </is>
      </c>
      <c r="C43" s="27">
        <f>IFERROR(C29/C10,"")</f>
        <v/>
      </c>
      <c r="D43" s="27">
        <f>IFERROR(D29/D10,"")</f>
        <v/>
      </c>
      <c r="E43" s="27">
        <f>IFERROR(E29/E10,"")</f>
        <v/>
      </c>
      <c r="F43" s="27">
        <f>IFERROR(F29/F10,"")</f>
        <v/>
      </c>
      <c r="G43" s="27">
        <f>IFERROR(G29/G10,"")</f>
        <v/>
      </c>
      <c r="H43" s="27">
        <f>IFERROR(H29/H10,"")</f>
        <v/>
      </c>
      <c r="I43" s="27">
        <f>IFERROR(I29/I10,"")</f>
        <v/>
      </c>
      <c r="J43" s="27">
        <f>IFERROR(J29/J10,"")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8"/>
    <outlinePr summaryBelow="1" summaryRight="1"/>
    <pageSetUpPr/>
  </sheetPr>
  <dimension ref="B1:J25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B1" s="12" t="inlineStr">
        <is>
          <t>NKE: cost of capital</t>
        </is>
      </c>
    </row>
    <row r="2">
      <c r="B2" s="3" t="inlineStr">
        <is>
          <t>Bottom-up beta: peers' regression betas, unlevered, median, relevered at the target's capital structure.</t>
        </is>
      </c>
    </row>
    <row r="4">
      <c r="B4" s="23" t="inlineStr">
        <is>
          <t>Company</t>
        </is>
      </c>
      <c r="C4" s="24" t="inlineStr">
        <is>
          <t>Raw beta (2y weekly)</t>
        </is>
      </c>
      <c r="D4" s="24" t="inlineStr">
        <is>
          <t>R²</t>
        </is>
      </c>
      <c r="E4" s="24" t="inlineStr">
        <is>
          <t>Adjusted beta</t>
        </is>
      </c>
      <c r="F4" s="24" t="inlineStr">
        <is>
          <t>Market cap ($m)</t>
        </is>
      </c>
      <c r="G4" s="24" t="inlineStr">
        <is>
          <t>Debt ($m)</t>
        </is>
      </c>
      <c r="H4" s="24" t="inlineStr">
        <is>
          <t>Debt / equity</t>
        </is>
      </c>
      <c r="I4" s="24" t="inlineStr">
        <is>
          <t>Unlevered beta</t>
        </is>
      </c>
      <c r="J4" s="24" t="inlineStr">
        <is>
          <t>Role</t>
        </is>
      </c>
    </row>
    <row r="5">
      <c r="B5" s="21" t="inlineStr">
        <is>
          <t>NKE</t>
        </is>
      </c>
      <c r="C5" s="28" t="n">
        <v>1.000101116638327</v>
      </c>
      <c r="D5" s="28" t="n">
        <v>0.1735313454490617</v>
      </c>
      <c r="E5" s="29">
        <f>IF(C5="","",0.67*C5+0.33)</f>
        <v/>
      </c>
      <c r="F5" s="20" t="n">
        <v>52028.6314529419</v>
      </c>
      <c r="G5" s="20" t="n">
        <v>7893</v>
      </c>
      <c r="H5" s="26">
        <f>IFERROR(G5/F5,0)</f>
        <v/>
      </c>
      <c r="I5" s="30">
        <f>IF(E5="","",E5/(1+(1-Assumptions!$C$9)*H5))</f>
        <v/>
      </c>
      <c r="J5" s="10" t="inlineStr">
        <is>
          <t>Target</t>
        </is>
      </c>
    </row>
    <row r="6">
      <c r="B6" s="10" t="inlineStr">
        <is>
          <t>LULU</t>
        </is>
      </c>
      <c r="C6" s="28" t="n">
        <v>1.095372923848844</v>
      </c>
      <c r="D6" s="28" t="n">
        <v>0.1223865607397181</v>
      </c>
      <c r="E6" s="29">
        <f>IF(C6="","",0.67*C6+0.33)</f>
        <v/>
      </c>
      <c r="F6" s="20" t="n">
        <v>9955.936710937012</v>
      </c>
      <c r="G6" s="20" t="n">
        <v>0</v>
      </c>
      <c r="H6" s="26">
        <f>IFERROR(G6/F6,0)</f>
        <v/>
      </c>
      <c r="I6" s="30">
        <f>IF(E6="","",E6/(1+(1-Assumptions!$C$9)*H6))</f>
        <v/>
      </c>
      <c r="J6" s="10" t="inlineStr">
        <is>
          <t>Peer</t>
        </is>
      </c>
    </row>
    <row r="7">
      <c r="B7" s="10" t="inlineStr">
        <is>
          <t>DECK</t>
        </is>
      </c>
      <c r="C7" s="28" t="n">
        <v>1.346027840923903</v>
      </c>
      <c r="D7" s="28" t="n">
        <v>0.1988067873819643</v>
      </c>
      <c r="E7" s="29">
        <f>IF(C7="","",0.67*C7+0.33)</f>
        <v/>
      </c>
      <c r="F7" s="20" t="n">
        <v>11395.70327986091</v>
      </c>
      <c r="G7" s="20" t="n">
        <v>0</v>
      </c>
      <c r="H7" s="26">
        <f>IFERROR(G7/F7,0)</f>
        <v/>
      </c>
      <c r="I7" s="30">
        <f>IF(E7="","",E7/(1+(1-Assumptions!$C$9)*H7))</f>
        <v/>
      </c>
      <c r="J7" s="10" t="inlineStr">
        <is>
          <t>Peer</t>
        </is>
      </c>
    </row>
    <row r="8">
      <c r="B8" s="10" t="inlineStr">
        <is>
          <t>CROX</t>
        </is>
      </c>
      <c r="C8" s="28" t="n">
        <v>0.7766122136704851</v>
      </c>
      <c r="D8" s="28" t="n">
        <v>0.05808673940725519</v>
      </c>
      <c r="E8" s="29">
        <f>IF(C8="","",0.67*C8+0.33)</f>
        <v/>
      </c>
      <c r="F8" s="20" t="n">
        <v>5651.765309314918</v>
      </c>
      <c r="G8" s="20" t="n">
        <v>1334</v>
      </c>
      <c r="H8" s="26">
        <f>IFERROR(G8/F8,0)</f>
        <v/>
      </c>
      <c r="I8" s="30">
        <f>IF(E8="","",E8/(1+(1-Assumptions!$C$9)*H8))</f>
        <v/>
      </c>
      <c r="J8" s="10" t="inlineStr">
        <is>
          <t>Peer</t>
        </is>
      </c>
    </row>
    <row r="9">
      <c r="B9" s="10" t="inlineStr">
        <is>
          <t>UAA</t>
        </is>
      </c>
      <c r="C9" s="28" t="n">
        <v>0.9970651775670069</v>
      </c>
      <c r="D9" s="28" t="n">
        <v>0.08857007780821731</v>
      </c>
      <c r="E9" s="29">
        <f>IF(C9="","",0.67*C9+0.33)</f>
        <v/>
      </c>
      <c r="F9" s="20" t="n">
        <v>2133.768804715633</v>
      </c>
      <c r="G9" s="20" t="n">
        <v>591.158</v>
      </c>
      <c r="H9" s="26">
        <f>IFERROR(G9/F9,0)</f>
        <v/>
      </c>
      <c r="I9" s="30">
        <f>IF(E9="","",E9/(1+(1-Assumptions!$C$9)*H9))</f>
        <v/>
      </c>
      <c r="J9" s="10" t="inlineStr">
        <is>
          <t>Peer</t>
        </is>
      </c>
    </row>
    <row r="10">
      <c r="B10" s="10" t="inlineStr">
        <is>
          <t>VFC</t>
        </is>
      </c>
      <c r="C10" s="28" t="n">
        <v>1.853907555195999</v>
      </c>
      <c r="D10" s="28" t="n">
        <v>0.2399399971835262</v>
      </c>
      <c r="E10" s="29">
        <f>IF(C10="","",0.67*C10+0.33)</f>
        <v/>
      </c>
      <c r="F10" s="20" t="n">
        <v>6176.249533828454</v>
      </c>
      <c r="G10" s="20" t="n">
        <v>3530.009</v>
      </c>
      <c r="H10" s="26">
        <f>IFERROR(G10/F10,0)</f>
        <v/>
      </c>
      <c r="I10" s="30">
        <f>IF(E10="","",E10/(1+(1-Assumptions!$C$9)*H10))</f>
        <v/>
      </c>
      <c r="J10" s="10" t="inlineStr">
        <is>
          <t>Peer</t>
        </is>
      </c>
    </row>
    <row r="11">
      <c r="B11" s="10" t="inlineStr">
        <is>
          <t>COLM</t>
        </is>
      </c>
      <c r="C11" s="28" t="n">
        <v>0.629895039993271</v>
      </c>
      <c r="D11" s="28" t="n">
        <v>0.0762082382206922</v>
      </c>
      <c r="E11" s="29">
        <f>IF(C11="","",0.67*C11+0.33)</f>
        <v/>
      </c>
      <c r="F11" s="20" t="n">
        <v>2884.736403785385</v>
      </c>
      <c r="G11" s="20" t="n">
        <v>0</v>
      </c>
      <c r="H11" s="26">
        <f>IFERROR(G11/F11,0)</f>
        <v/>
      </c>
      <c r="I11" s="30">
        <f>IF(E11="","",E11/(1+(1-Assumptions!$C$9)*H11))</f>
        <v/>
      </c>
      <c r="J11" s="10" t="inlineStr">
        <is>
          <t>Peer</t>
        </is>
      </c>
    </row>
    <row r="13">
      <c r="B13" s="10" t="inlineStr">
        <is>
          <t>Median unlevered beta (peers)</t>
        </is>
      </c>
      <c r="C13" s="29">
        <f>MEDIAN(I6:I11)</f>
        <v/>
      </c>
    </row>
    <row r="14">
      <c r="B14" s="10" t="inlineStr">
        <is>
          <t>Target debt / equity (market)</t>
        </is>
      </c>
      <c r="C14" s="31">
        <f>Assumptions!$C$21/Assumptions!$C$23</f>
        <v/>
      </c>
    </row>
    <row r="15">
      <c r="B15" s="10" t="inlineStr">
        <is>
          <t>Relevered beta</t>
        </is>
      </c>
      <c r="C15" s="30">
        <f>C13*(1+(1-Assumptions!$C$9)*C14)</f>
        <v/>
      </c>
      <c r="D15" s="3" t="inlineStr">
        <is>
          <t>Target's own adjusted beta: 1.00 (shown for reference)</t>
        </is>
      </c>
    </row>
    <row r="16">
      <c r="B16" s="10" t="inlineStr">
        <is>
          <t>Risk-free rate</t>
        </is>
      </c>
      <c r="C16" s="31">
        <f>Assumptions!$C$7</f>
        <v/>
      </c>
    </row>
    <row r="17">
      <c r="B17" s="10" t="inlineStr">
        <is>
          <t>Equity risk premium</t>
        </is>
      </c>
      <c r="C17" s="31">
        <f>Assumptions!$C$8</f>
        <v/>
      </c>
    </row>
    <row r="18">
      <c r="B18" s="21" t="inlineStr">
        <is>
          <t>Cost of equity</t>
        </is>
      </c>
      <c r="C18" s="32">
        <f>C16+C15*C17</f>
        <v/>
      </c>
    </row>
    <row r="19">
      <c r="B19" s="10" t="inlineStr">
        <is>
          <t>Pre-tax cost of debt (rf + spread)</t>
        </is>
      </c>
      <c r="C19" s="31">
        <f>Assumptions!$C$7+Assumptions!$C$10</f>
        <v/>
      </c>
    </row>
    <row r="20">
      <c r="B20" s="10" t="inlineStr">
        <is>
          <t>After-tax cost of debt</t>
        </is>
      </c>
      <c r="C20" s="31">
        <f>C19*(1-Assumptions!$C$9)</f>
        <v/>
      </c>
    </row>
    <row r="21">
      <c r="B21" s="10" t="inlineStr">
        <is>
          <t>Weight of equity</t>
        </is>
      </c>
      <c r="C21" s="31">
        <f>Assumptions!$C$23/(Assumptions!$C$23+Assumptions!$C$21)</f>
        <v/>
      </c>
    </row>
    <row r="22">
      <c r="B22" s="10" t="inlineStr">
        <is>
          <t>Weight of debt</t>
        </is>
      </c>
      <c r="C22" s="26">
        <f>1-C21</f>
        <v/>
      </c>
    </row>
    <row r="23">
      <c r="B23" s="10" t="inlineStr">
        <is>
          <t>WACC (calculated)</t>
        </is>
      </c>
      <c r="C23" s="26">
        <f>C21*C18+C22*C20</f>
        <v/>
      </c>
    </row>
    <row r="24">
      <c r="B24" s="10" t="inlineStr">
        <is>
          <t>WACC (after floor: terminal growth + min spread)</t>
        </is>
      </c>
      <c r="C24" s="31">
        <f>MAX(C23,Assumptions!$C$11+Assumptions!$C$13)</f>
        <v/>
      </c>
    </row>
    <row r="25">
      <c r="B25" s="21" t="inlineStr">
        <is>
          <t>WACC used (incl. scenario shift)</t>
        </is>
      </c>
      <c r="C25" s="33">
        <f>C24+INDEX(Assumptions!$C$38:$E$38,Assumptions!$C$4)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A5B8"/>
    <outlinePr summaryBelow="1" summaryRight="1"/>
    <pageSetUpPr/>
  </sheetPr>
  <dimension ref="B1:I43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50" customWidth="1" min="9" max="9"/>
  </cols>
  <sheetData>
    <row r="1">
      <c r="B1" s="12" t="inlineStr">
        <is>
          <t>NKE: discounted cash flow ($m)</t>
        </is>
      </c>
    </row>
    <row r="2">
      <c r="B2" s="3" t="inlineStr">
        <is>
          <t>Unlevered free cash flow = EBIT × (1 − tax) + D&amp;A − capex − Δ working capital. Mid-year discounting.</t>
        </is>
      </c>
    </row>
    <row r="4">
      <c r="B4" s="23" t="inlineStr"/>
      <c r="C4" s="24" t="inlineStr">
        <is>
          <t>FY2026A</t>
        </is>
      </c>
      <c r="D4" s="24" t="inlineStr">
        <is>
          <t>Year 1</t>
        </is>
      </c>
      <c r="E4" s="24" t="inlineStr">
        <is>
          <t>Year 2</t>
        </is>
      </c>
      <c r="F4" s="24" t="inlineStr">
        <is>
          <t>Year 3</t>
        </is>
      </c>
      <c r="G4" s="24" t="inlineStr">
        <is>
          <t>Year 4</t>
        </is>
      </c>
      <c r="H4" s="24" t="inlineStr">
        <is>
          <t>Year 5</t>
        </is>
      </c>
    </row>
    <row r="5">
      <c r="B5" s="10" t="inlineStr">
        <is>
          <t>Year number</t>
        </is>
      </c>
      <c r="D5" s="17" t="n">
        <v>1</v>
      </c>
      <c r="E5" s="17" t="n">
        <v>2</v>
      </c>
      <c r="F5" s="17" t="n">
        <v>3</v>
      </c>
      <c r="G5" s="17" t="n">
        <v>4</v>
      </c>
      <c r="H5" s="17" t="n">
        <v>5</v>
      </c>
    </row>
    <row r="6">
      <c r="B6" s="21" t="inlineStr">
        <is>
          <t>Revenue</t>
        </is>
      </c>
      <c r="C6" s="22">
        <f>Historicals!$J$5</f>
        <v/>
      </c>
      <c r="D6" s="34">
        <f>C6*(1+D7)</f>
        <v/>
      </c>
      <c r="E6" s="34">
        <f>D6*(1+E7)</f>
        <v/>
      </c>
      <c r="F6" s="34">
        <f>E6*(1+F7)</f>
        <v/>
      </c>
      <c r="G6" s="34">
        <f>F6*(1+G7)</f>
        <v/>
      </c>
      <c r="H6" s="34">
        <f>G6*(1+H7)</f>
        <v/>
      </c>
    </row>
    <row r="7">
      <c r="B7" s="10" t="inlineStr">
        <is>
          <t>Revenue growth</t>
        </is>
      </c>
      <c r="D7" s="31">
        <f>Assumptions!C27+INDEX(Assumptions!$C$36:$E$36,Assumptions!$C$4)</f>
        <v/>
      </c>
      <c r="E7" s="31">
        <f>Assumptions!D27+INDEX(Assumptions!$C$36:$E$36,Assumptions!$C$4)</f>
        <v/>
      </c>
      <c r="F7" s="31">
        <f>Assumptions!E27+INDEX(Assumptions!$C$36:$E$36,Assumptions!$C$4)</f>
        <v/>
      </c>
      <c r="G7" s="31">
        <f>Assumptions!F27+INDEX(Assumptions!$C$36:$E$36,Assumptions!$C$4)</f>
        <v/>
      </c>
      <c r="H7" s="31">
        <f>Assumptions!G27+INDEX(Assumptions!$C$36:$E$36,Assumptions!$C$4)</f>
        <v/>
      </c>
    </row>
    <row r="8">
      <c r="B8" s="10" t="inlineStr">
        <is>
          <t>EBIT margin</t>
        </is>
      </c>
      <c r="D8" s="31">
        <f>Assumptions!C28+INDEX(Assumptions!$C$37:$E$37,Assumptions!$C$4)</f>
        <v/>
      </c>
      <c r="E8" s="31">
        <f>Assumptions!D28+INDEX(Assumptions!$C$37:$E$37,Assumptions!$C$4)</f>
        <v/>
      </c>
      <c r="F8" s="31">
        <f>Assumptions!E28+INDEX(Assumptions!$C$37:$E$37,Assumptions!$C$4)</f>
        <v/>
      </c>
      <c r="G8" s="31">
        <f>Assumptions!F28+INDEX(Assumptions!$C$37:$E$37,Assumptions!$C$4)</f>
        <v/>
      </c>
      <c r="H8" s="31">
        <f>Assumptions!G28+INDEX(Assumptions!$C$37:$E$37,Assumptions!$C$4)</f>
        <v/>
      </c>
    </row>
    <row r="9">
      <c r="B9" s="10" t="inlineStr">
        <is>
          <t>EBIT</t>
        </is>
      </c>
      <c r="D9" s="25">
        <f>D6*D8</f>
        <v/>
      </c>
      <c r="E9" s="25">
        <f>E6*E8</f>
        <v/>
      </c>
      <c r="F9" s="25">
        <f>F6*F8</f>
        <v/>
      </c>
      <c r="G9" s="25">
        <f>G6*G8</f>
        <v/>
      </c>
      <c r="H9" s="25">
        <f>H6*H8</f>
        <v/>
      </c>
    </row>
    <row r="10">
      <c r="B10" s="10" t="inlineStr">
        <is>
          <t>Taxes on EBIT</t>
        </is>
      </c>
      <c r="D10" s="35">
        <f>D9*Assumptions!$C$29</f>
        <v/>
      </c>
      <c r="E10" s="35">
        <f>E9*Assumptions!$C$29</f>
        <v/>
      </c>
      <c r="F10" s="35">
        <f>F9*Assumptions!$C$29</f>
        <v/>
      </c>
      <c r="G10" s="35">
        <f>G9*Assumptions!$C$29</f>
        <v/>
      </c>
      <c r="H10" s="35">
        <f>H9*Assumptions!$C$29</f>
        <v/>
      </c>
    </row>
    <row r="11">
      <c r="B11" s="10" t="inlineStr">
        <is>
          <t>NOPAT</t>
        </is>
      </c>
      <c r="D11" s="25">
        <f>D9-D10</f>
        <v/>
      </c>
      <c r="E11" s="25">
        <f>E9-E10</f>
        <v/>
      </c>
      <c r="F11" s="25">
        <f>F9-F10</f>
        <v/>
      </c>
      <c r="G11" s="25">
        <f>G9-G10</f>
        <v/>
      </c>
      <c r="H11" s="25">
        <f>H9-H10</f>
        <v/>
      </c>
    </row>
    <row r="12">
      <c r="B12" s="10" t="inlineStr">
        <is>
          <t>D&amp;A</t>
        </is>
      </c>
      <c r="D12" s="35">
        <f>D6*Assumptions!$C$30</f>
        <v/>
      </c>
      <c r="E12" s="35">
        <f>E6*Assumptions!$C$30</f>
        <v/>
      </c>
      <c r="F12" s="35">
        <f>F6*Assumptions!$C$30</f>
        <v/>
      </c>
      <c r="G12" s="35">
        <f>G6*Assumptions!$C$30</f>
        <v/>
      </c>
      <c r="H12" s="35">
        <f>H6*Assumptions!$C$30</f>
        <v/>
      </c>
    </row>
    <row r="13">
      <c r="B13" s="10" t="inlineStr">
        <is>
          <t>Capex</t>
        </is>
      </c>
      <c r="D13" s="35">
        <f>D6*Assumptions!$C$31</f>
        <v/>
      </c>
      <c r="E13" s="35">
        <f>E6*Assumptions!$C$31</f>
        <v/>
      </c>
      <c r="F13" s="35">
        <f>F6*Assumptions!$C$31</f>
        <v/>
      </c>
      <c r="G13" s="35">
        <f>G6*Assumptions!$C$31</f>
        <v/>
      </c>
      <c r="H13" s="35">
        <f>H6*Assumptions!$C$31</f>
        <v/>
      </c>
    </row>
    <row r="14">
      <c r="B14" s="10" t="inlineStr">
        <is>
          <t>Working capital</t>
        </is>
      </c>
      <c r="C14" s="35">
        <f>C6*Assumptions!$C$32</f>
        <v/>
      </c>
      <c r="D14" s="35">
        <f>D6*Assumptions!$C$32</f>
        <v/>
      </c>
      <c r="E14" s="35">
        <f>E6*Assumptions!$C$32</f>
        <v/>
      </c>
      <c r="F14" s="35">
        <f>F6*Assumptions!$C$32</f>
        <v/>
      </c>
      <c r="G14" s="35">
        <f>G6*Assumptions!$C$32</f>
        <v/>
      </c>
      <c r="H14" s="35">
        <f>H6*Assumptions!$C$32</f>
        <v/>
      </c>
    </row>
    <row r="15">
      <c r="B15" s="10" t="inlineStr">
        <is>
          <t>Δ Working capital</t>
        </is>
      </c>
      <c r="D15" s="25">
        <f>D14-C14</f>
        <v/>
      </c>
      <c r="E15" s="25">
        <f>E14-D14</f>
        <v/>
      </c>
      <c r="F15" s="25">
        <f>F14-E14</f>
        <v/>
      </c>
      <c r="G15" s="25">
        <f>G14-F14</f>
        <v/>
      </c>
      <c r="H15" s="25">
        <f>H14-G14</f>
        <v/>
      </c>
    </row>
    <row r="16">
      <c r="B16" s="21" t="inlineStr">
        <is>
          <t>Unlevered free cash flow</t>
        </is>
      </c>
      <c r="D16" s="34">
        <f>D11+D12-D13-D15</f>
        <v/>
      </c>
      <c r="E16" s="34">
        <f>E11+E12-E13-E15</f>
        <v/>
      </c>
      <c r="F16" s="34">
        <f>F11+F12-F13-F15</f>
        <v/>
      </c>
      <c r="G16" s="34">
        <f>G11+G12-G13-G15</f>
        <v/>
      </c>
      <c r="H16" s="34">
        <f>H11+H12-H13-H15</f>
        <v/>
      </c>
    </row>
    <row r="17">
      <c r="B17" s="10" t="inlineStr">
        <is>
          <t>EBITDA</t>
        </is>
      </c>
      <c r="D17" s="25">
        <f>D9+D12</f>
        <v/>
      </c>
      <c r="E17" s="25">
        <f>E9+E12</f>
        <v/>
      </c>
      <c r="F17" s="25">
        <f>F9+F12</f>
        <v/>
      </c>
      <c r="G17" s="25">
        <f>G9+G12</f>
        <v/>
      </c>
      <c r="H17" s="25">
        <f>H9+H12</f>
        <v/>
      </c>
    </row>
    <row r="18">
      <c r="B18" s="10" t="inlineStr">
        <is>
          <t>Discount period (years)</t>
        </is>
      </c>
      <c r="D18" s="36">
        <f>D5-0.5*Assumptions!$C$14</f>
        <v/>
      </c>
      <c r="E18" s="36">
        <f>E5-0.5*Assumptions!$C$14</f>
        <v/>
      </c>
      <c r="F18" s="36">
        <f>F5-0.5*Assumptions!$C$14</f>
        <v/>
      </c>
      <c r="G18" s="36">
        <f>G5-0.5*Assumptions!$C$14</f>
        <v/>
      </c>
      <c r="H18" s="36">
        <f>H5-0.5*Assumptions!$C$14</f>
        <v/>
      </c>
    </row>
    <row r="19">
      <c r="B19" s="10" t="inlineStr">
        <is>
          <t>Discount factor</t>
        </is>
      </c>
      <c r="D19" s="37">
        <f>1/(1+$C$23)^D18</f>
        <v/>
      </c>
      <c r="E19" s="37">
        <f>1/(1+$C$23)^E18</f>
        <v/>
      </c>
      <c r="F19" s="37">
        <f>1/(1+$C$23)^F18</f>
        <v/>
      </c>
      <c r="G19" s="37">
        <f>1/(1+$C$23)^G18</f>
        <v/>
      </c>
      <c r="H19" s="37">
        <f>1/(1+$C$23)^H18</f>
        <v/>
      </c>
    </row>
    <row r="20">
      <c r="B20" s="21" t="inlineStr">
        <is>
          <t>PV of UFCF</t>
        </is>
      </c>
      <c r="D20" s="34">
        <f>D16*D19</f>
        <v/>
      </c>
      <c r="E20" s="34">
        <f>E16*E19</f>
        <v/>
      </c>
      <c r="F20" s="34">
        <f>F16*F19</f>
        <v/>
      </c>
      <c r="G20" s="34">
        <f>G16*G19</f>
        <v/>
      </c>
      <c r="H20" s="34">
        <f>H16*H19</f>
        <v/>
      </c>
    </row>
    <row r="22">
      <c r="B22" s="9" t="inlineStr">
        <is>
          <t>Perpetuity growth method</t>
        </is>
      </c>
    </row>
    <row r="23">
      <c r="B23" s="10" t="inlineStr">
        <is>
          <t>WACC</t>
        </is>
      </c>
      <c r="C23" s="31">
        <f>WACC!$C$25</f>
        <v/>
      </c>
    </row>
    <row r="24">
      <c r="B24" s="10" t="inlineStr">
        <is>
          <t>Terminal growth</t>
        </is>
      </c>
      <c r="C24" s="31">
        <f>Assumptions!$C$11+INDEX(Assumptions!$C$39:$E$39,Assumptions!$C$4)</f>
        <v/>
      </c>
    </row>
    <row r="25">
      <c r="B25" s="10" t="inlineStr">
        <is>
          <t>Sum of PV of UFCF</t>
        </is>
      </c>
      <c r="C25" s="25">
        <f>SUM(D20:H20)</f>
        <v/>
      </c>
    </row>
    <row r="26">
      <c r="B26" s="10" t="inlineStr">
        <is>
          <t>Terminal value</t>
        </is>
      </c>
      <c r="C26" s="25">
        <f>H16*(1+C24)/(C23-C24)</f>
        <v/>
      </c>
      <c r="I26" s="3" t="inlineStr">
        <is>
          <t>Gordon growth: UFCF in year N × (1 + g) / (WACC − g), discounted from the end of year N.</t>
        </is>
      </c>
    </row>
    <row r="27">
      <c r="B27" s="10" t="inlineStr">
        <is>
          <t>PV of terminal value</t>
        </is>
      </c>
      <c r="C27" s="25">
        <f>C26/(1+C23)^H5</f>
        <v/>
      </c>
    </row>
    <row r="28">
      <c r="B28" s="21" t="inlineStr">
        <is>
          <t>Enterprise value</t>
        </is>
      </c>
      <c r="C28" s="34">
        <f>C25+C27</f>
        <v/>
      </c>
    </row>
    <row r="29">
      <c r="B29" s="10" t="inlineStr">
        <is>
          <t>Less: net debt</t>
        </is>
      </c>
      <c r="C29" s="35">
        <f>Assumptions!$C$22</f>
        <v/>
      </c>
    </row>
    <row r="30">
      <c r="B30" s="10" t="inlineStr">
        <is>
          <t>Equity value</t>
        </is>
      </c>
      <c r="C30" s="25">
        <f>C28-C29</f>
        <v/>
      </c>
    </row>
    <row r="31">
      <c r="B31" s="10" t="inlineStr">
        <is>
          <t>Shares outstanding (m)</t>
        </is>
      </c>
      <c r="C31" s="38">
        <f>Assumptions!$C$18</f>
        <v/>
      </c>
    </row>
    <row r="32">
      <c r="B32" s="21" t="inlineStr">
        <is>
          <t>Value per share ($)</t>
        </is>
      </c>
      <c r="C32" s="39">
        <f>C30/C31</f>
        <v/>
      </c>
    </row>
    <row r="33">
      <c r="B33" s="10" t="inlineStr">
        <is>
          <t>Terminal value % of EV</t>
        </is>
      </c>
      <c r="C33" s="26">
        <f>C27/C28</f>
        <v/>
      </c>
    </row>
    <row r="34">
      <c r="B34" s="10" t="inlineStr">
        <is>
          <t>Implied exit multiple (EV/EBITDA)</t>
        </is>
      </c>
      <c r="C34" s="27">
        <f>C26/H17</f>
        <v/>
      </c>
    </row>
    <row r="36">
      <c r="B36" s="9" t="inlineStr">
        <is>
          <t>Exit multiple method</t>
        </is>
      </c>
    </row>
    <row r="37">
      <c r="B37" s="10" t="inlineStr">
        <is>
          <t>Exit multiple (EV/EBITDA)</t>
        </is>
      </c>
      <c r="C37" s="40">
        <f>Assumptions!$C$12</f>
        <v/>
      </c>
    </row>
    <row r="38">
      <c r="B38" s="10" t="inlineStr">
        <is>
          <t>Terminal value</t>
        </is>
      </c>
      <c r="C38" s="25">
        <f>H17*C37</f>
        <v/>
      </c>
    </row>
    <row r="39">
      <c r="B39" s="10" t="inlineStr">
        <is>
          <t>PV of terminal value</t>
        </is>
      </c>
      <c r="C39" s="25">
        <f>C38/(1+C23)^H5</f>
        <v/>
      </c>
    </row>
    <row r="40">
      <c r="B40" s="21" t="inlineStr">
        <is>
          <t>Enterprise value</t>
        </is>
      </c>
      <c r="C40" s="34">
        <f>C25+C39</f>
        <v/>
      </c>
    </row>
    <row r="41">
      <c r="B41" s="10" t="inlineStr">
        <is>
          <t>Equity value</t>
        </is>
      </c>
      <c r="C41" s="25">
        <f>C40-C29</f>
        <v/>
      </c>
    </row>
    <row r="42">
      <c r="B42" s="21" t="inlineStr">
        <is>
          <t>Value per share ($)</t>
        </is>
      </c>
      <c r="C42" s="39">
        <f>C41/C31</f>
        <v/>
      </c>
    </row>
    <row r="43">
      <c r="B43" s="10" t="inlineStr">
        <is>
          <t>Implied perpetual growth</t>
        </is>
      </c>
      <c r="C43" s="26">
        <f>(C38*C23-H16)/(C38+H16)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8"/>
    <outlinePr summaryBelow="1" summaryRight="1"/>
    <pageSetUpPr/>
  </sheetPr>
  <dimension ref="B1:G23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B1" s="12" t="inlineStr">
        <is>
          <t>NKE: value per share sensitivity ($)</t>
        </is>
      </c>
    </row>
    <row r="2">
      <c r="B2" s="3" t="inlineStr">
        <is>
          <t>Live formulas: each cell re-runs the DCF for that WACC and terminal assumption.</t>
        </is>
      </c>
    </row>
    <row r="4">
      <c r="B4" s="10" t="inlineStr">
        <is>
          <t>WACC step</t>
        </is>
      </c>
      <c r="C4" s="14" t="n">
        <v>0.005</v>
      </c>
      <c r="D4" s="10" t="inlineStr">
        <is>
          <t>g step</t>
        </is>
      </c>
      <c r="E4" s="14" t="n">
        <v>0.0025</v>
      </c>
      <c r="F4" s="10" t="inlineStr">
        <is>
          <t>Multiple step</t>
        </is>
      </c>
      <c r="G4" s="41" t="n">
        <v>1</v>
      </c>
    </row>
    <row r="6">
      <c r="B6" s="9" t="inlineStr">
        <is>
          <t>Perpetuity growth method: WACC (rows) × terminal growth (columns)</t>
        </is>
      </c>
    </row>
    <row r="7">
      <c r="B7" s="21" t="inlineStr">
        <is>
          <t>WACC \ g</t>
        </is>
      </c>
      <c r="C7" s="42">
        <f>DCF!$C$24+(-2)*$E$4</f>
        <v/>
      </c>
      <c r="D7" s="42">
        <f>DCF!$C$24+(-1)*$E$4</f>
        <v/>
      </c>
      <c r="E7" s="42">
        <f>DCF!$C$24+(0)*$E$4</f>
        <v/>
      </c>
      <c r="F7" s="42">
        <f>DCF!$C$24+(1)*$E$4</f>
        <v/>
      </c>
      <c r="G7" s="42">
        <f>DCF!$C$24+(2)*$E$4</f>
        <v/>
      </c>
    </row>
    <row r="8">
      <c r="B8" s="42">
        <f>DCF!$C$23+(-2)*$C$4</f>
        <v/>
      </c>
      <c r="C8" s="43">
        <f>IF($B8&gt;C$7,(SUMPRODUCT(DCF!$D$16:$H$16/(1+$B8)^DCF!$D$18:$H$18)+DCF!$H$16*(1+C$7)/($B8-C$7)/(1+$B8)^DCF!$H$5-DCF!$C$29)/DCF!$C$31,"n/a")</f>
        <v/>
      </c>
      <c r="D8" s="43">
        <f>IF($B8&gt;D$7,(SUMPRODUCT(DCF!$D$16:$H$16/(1+$B8)^DCF!$D$18:$H$18)+DCF!$H$16*(1+D$7)/($B8-D$7)/(1+$B8)^DCF!$H$5-DCF!$C$29)/DCF!$C$31,"n/a")</f>
        <v/>
      </c>
      <c r="E8" s="43">
        <f>IF($B8&gt;E$7,(SUMPRODUCT(DCF!$D$16:$H$16/(1+$B8)^DCF!$D$18:$H$18)+DCF!$H$16*(1+E$7)/($B8-E$7)/(1+$B8)^DCF!$H$5-DCF!$C$29)/DCF!$C$31,"n/a")</f>
        <v/>
      </c>
      <c r="F8" s="43">
        <f>IF($B8&gt;F$7,(SUMPRODUCT(DCF!$D$16:$H$16/(1+$B8)^DCF!$D$18:$H$18)+DCF!$H$16*(1+F$7)/($B8-F$7)/(1+$B8)^DCF!$H$5-DCF!$C$29)/DCF!$C$31,"n/a")</f>
        <v/>
      </c>
      <c r="G8" s="43">
        <f>IF($B8&gt;G$7,(SUMPRODUCT(DCF!$D$16:$H$16/(1+$B8)^DCF!$D$18:$H$18)+DCF!$H$16*(1+G$7)/($B8-G$7)/(1+$B8)^DCF!$H$5-DCF!$C$29)/DCF!$C$31,"n/a")</f>
        <v/>
      </c>
    </row>
    <row r="9">
      <c r="B9" s="42">
        <f>DCF!$C$23+(-1)*$C$4</f>
        <v/>
      </c>
      <c r="C9" s="43">
        <f>IF($B9&gt;C$7,(SUMPRODUCT(DCF!$D$16:$H$16/(1+$B9)^DCF!$D$18:$H$18)+DCF!$H$16*(1+C$7)/($B9-C$7)/(1+$B9)^DCF!$H$5-DCF!$C$29)/DCF!$C$31,"n/a")</f>
        <v/>
      </c>
      <c r="D9" s="43">
        <f>IF($B9&gt;D$7,(SUMPRODUCT(DCF!$D$16:$H$16/(1+$B9)^DCF!$D$18:$H$18)+DCF!$H$16*(1+D$7)/($B9-D$7)/(1+$B9)^DCF!$H$5-DCF!$C$29)/DCF!$C$31,"n/a")</f>
        <v/>
      </c>
      <c r="E9" s="43">
        <f>IF($B9&gt;E$7,(SUMPRODUCT(DCF!$D$16:$H$16/(1+$B9)^DCF!$D$18:$H$18)+DCF!$H$16*(1+E$7)/($B9-E$7)/(1+$B9)^DCF!$H$5-DCF!$C$29)/DCF!$C$31,"n/a")</f>
        <v/>
      </c>
      <c r="F9" s="43">
        <f>IF($B9&gt;F$7,(SUMPRODUCT(DCF!$D$16:$H$16/(1+$B9)^DCF!$D$18:$H$18)+DCF!$H$16*(1+F$7)/($B9-F$7)/(1+$B9)^DCF!$H$5-DCF!$C$29)/DCF!$C$31,"n/a")</f>
        <v/>
      </c>
      <c r="G9" s="43">
        <f>IF($B9&gt;G$7,(SUMPRODUCT(DCF!$D$16:$H$16/(1+$B9)^DCF!$D$18:$H$18)+DCF!$H$16*(1+G$7)/($B9-G$7)/(1+$B9)^DCF!$H$5-DCF!$C$29)/DCF!$C$31,"n/a")</f>
        <v/>
      </c>
    </row>
    <row r="10">
      <c r="B10" s="42">
        <f>DCF!$C$23+(0)*$C$4</f>
        <v/>
      </c>
      <c r="C10" s="43">
        <f>IF($B10&gt;C$7,(SUMPRODUCT(DCF!$D$16:$H$16/(1+$B10)^DCF!$D$18:$H$18)+DCF!$H$16*(1+C$7)/($B10-C$7)/(1+$B10)^DCF!$H$5-DCF!$C$29)/DCF!$C$31,"n/a")</f>
        <v/>
      </c>
      <c r="D10" s="43">
        <f>IF($B10&gt;D$7,(SUMPRODUCT(DCF!$D$16:$H$16/(1+$B10)^DCF!$D$18:$H$18)+DCF!$H$16*(1+D$7)/($B10-D$7)/(1+$B10)^DCF!$H$5-DCF!$C$29)/DCF!$C$31,"n/a")</f>
        <v/>
      </c>
      <c r="E10" s="43">
        <f>IF($B10&gt;E$7,(SUMPRODUCT(DCF!$D$16:$H$16/(1+$B10)^DCF!$D$18:$H$18)+DCF!$H$16*(1+E$7)/($B10-E$7)/(1+$B10)^DCF!$H$5-DCF!$C$29)/DCF!$C$31,"n/a")</f>
        <v/>
      </c>
      <c r="F10" s="43">
        <f>IF($B10&gt;F$7,(SUMPRODUCT(DCF!$D$16:$H$16/(1+$B10)^DCF!$D$18:$H$18)+DCF!$H$16*(1+F$7)/($B10-F$7)/(1+$B10)^DCF!$H$5-DCF!$C$29)/DCF!$C$31,"n/a")</f>
        <v/>
      </c>
      <c r="G10" s="43">
        <f>IF($B10&gt;G$7,(SUMPRODUCT(DCF!$D$16:$H$16/(1+$B10)^DCF!$D$18:$H$18)+DCF!$H$16*(1+G$7)/($B10-G$7)/(1+$B10)^DCF!$H$5-DCF!$C$29)/DCF!$C$31,"n/a")</f>
        <v/>
      </c>
    </row>
    <row r="11">
      <c r="B11" s="42">
        <f>DCF!$C$23+(1)*$C$4</f>
        <v/>
      </c>
      <c r="C11" s="43">
        <f>IF($B11&gt;C$7,(SUMPRODUCT(DCF!$D$16:$H$16/(1+$B11)^DCF!$D$18:$H$18)+DCF!$H$16*(1+C$7)/($B11-C$7)/(1+$B11)^DCF!$H$5-DCF!$C$29)/DCF!$C$31,"n/a")</f>
        <v/>
      </c>
      <c r="D11" s="43">
        <f>IF($B11&gt;D$7,(SUMPRODUCT(DCF!$D$16:$H$16/(1+$B11)^DCF!$D$18:$H$18)+DCF!$H$16*(1+D$7)/($B11-D$7)/(1+$B11)^DCF!$H$5-DCF!$C$29)/DCF!$C$31,"n/a")</f>
        <v/>
      </c>
      <c r="E11" s="43">
        <f>IF($B11&gt;E$7,(SUMPRODUCT(DCF!$D$16:$H$16/(1+$B11)^DCF!$D$18:$H$18)+DCF!$H$16*(1+E$7)/($B11-E$7)/(1+$B11)^DCF!$H$5-DCF!$C$29)/DCF!$C$31,"n/a")</f>
        <v/>
      </c>
      <c r="F11" s="43">
        <f>IF($B11&gt;F$7,(SUMPRODUCT(DCF!$D$16:$H$16/(1+$B11)^DCF!$D$18:$H$18)+DCF!$H$16*(1+F$7)/($B11-F$7)/(1+$B11)^DCF!$H$5-DCF!$C$29)/DCF!$C$31,"n/a")</f>
        <v/>
      </c>
      <c r="G11" s="43">
        <f>IF($B11&gt;G$7,(SUMPRODUCT(DCF!$D$16:$H$16/(1+$B11)^DCF!$D$18:$H$18)+DCF!$H$16*(1+G$7)/($B11-G$7)/(1+$B11)^DCF!$H$5-DCF!$C$29)/DCF!$C$31,"n/a")</f>
        <v/>
      </c>
    </row>
    <row r="12">
      <c r="B12" s="42">
        <f>DCF!$C$23+(2)*$C$4</f>
        <v/>
      </c>
      <c r="C12" s="43">
        <f>IF($B12&gt;C$7,(SUMPRODUCT(DCF!$D$16:$H$16/(1+$B12)^DCF!$D$18:$H$18)+DCF!$H$16*(1+C$7)/($B12-C$7)/(1+$B12)^DCF!$H$5-DCF!$C$29)/DCF!$C$31,"n/a")</f>
        <v/>
      </c>
      <c r="D12" s="43">
        <f>IF($B12&gt;D$7,(SUMPRODUCT(DCF!$D$16:$H$16/(1+$B12)^DCF!$D$18:$H$18)+DCF!$H$16*(1+D$7)/($B12-D$7)/(1+$B12)^DCF!$H$5-DCF!$C$29)/DCF!$C$31,"n/a")</f>
        <v/>
      </c>
      <c r="E12" s="43">
        <f>IF($B12&gt;E$7,(SUMPRODUCT(DCF!$D$16:$H$16/(1+$B12)^DCF!$D$18:$H$18)+DCF!$H$16*(1+E$7)/($B12-E$7)/(1+$B12)^DCF!$H$5-DCF!$C$29)/DCF!$C$31,"n/a")</f>
        <v/>
      </c>
      <c r="F12" s="43">
        <f>IF($B12&gt;F$7,(SUMPRODUCT(DCF!$D$16:$H$16/(1+$B12)^DCF!$D$18:$H$18)+DCF!$H$16*(1+F$7)/($B12-F$7)/(1+$B12)^DCF!$H$5-DCF!$C$29)/DCF!$C$31,"n/a")</f>
        <v/>
      </c>
      <c r="G12" s="43">
        <f>IF($B12&gt;G$7,(SUMPRODUCT(DCF!$D$16:$H$16/(1+$B12)^DCF!$D$18:$H$18)+DCF!$H$16*(1+G$7)/($B12-G$7)/(1+$B12)^DCF!$H$5-DCF!$C$29)/DCF!$C$31,"n/a")</f>
        <v/>
      </c>
    </row>
    <row r="15">
      <c r="B15" s="9" t="inlineStr">
        <is>
          <t>Exit multiple method: WACC (rows) × EV/EBITDA exit multiple (columns)</t>
        </is>
      </c>
    </row>
    <row r="16">
      <c r="B16" s="21" t="inlineStr">
        <is>
          <t>WACC \ multiple</t>
        </is>
      </c>
      <c r="C16" s="44">
        <f>DCF!$C$37+(-2)*$G$4</f>
        <v/>
      </c>
      <c r="D16" s="44">
        <f>DCF!$C$37+(-1)*$G$4</f>
        <v/>
      </c>
      <c r="E16" s="44">
        <f>DCF!$C$37+(0)*$G$4</f>
        <v/>
      </c>
      <c r="F16" s="44">
        <f>DCF!$C$37+(1)*$G$4</f>
        <v/>
      </c>
      <c r="G16" s="44">
        <f>DCF!$C$37+(2)*$G$4</f>
        <v/>
      </c>
    </row>
    <row r="17">
      <c r="B17" s="42">
        <f>DCF!$C$23+(-2)*$C$4</f>
        <v/>
      </c>
      <c r="C17" s="43">
        <f>(SUMPRODUCT(DCF!$D$16:$H$16/(1+$B17)^DCF!$D$18:$H$18)+DCF!$H$17*C$16/(1+$B17)^DCF!$H$5-DCF!$C$29)/DCF!$C$31</f>
        <v/>
      </c>
      <c r="D17" s="43">
        <f>(SUMPRODUCT(DCF!$D$16:$H$16/(1+$B17)^DCF!$D$18:$H$18)+DCF!$H$17*D$16/(1+$B17)^DCF!$H$5-DCF!$C$29)/DCF!$C$31</f>
        <v/>
      </c>
      <c r="E17" s="43">
        <f>(SUMPRODUCT(DCF!$D$16:$H$16/(1+$B17)^DCF!$D$18:$H$18)+DCF!$H$17*E$16/(1+$B17)^DCF!$H$5-DCF!$C$29)/DCF!$C$31</f>
        <v/>
      </c>
      <c r="F17" s="43">
        <f>(SUMPRODUCT(DCF!$D$16:$H$16/(1+$B17)^DCF!$D$18:$H$18)+DCF!$H$17*F$16/(1+$B17)^DCF!$H$5-DCF!$C$29)/DCF!$C$31</f>
        <v/>
      </c>
      <c r="G17" s="43">
        <f>(SUMPRODUCT(DCF!$D$16:$H$16/(1+$B17)^DCF!$D$18:$H$18)+DCF!$H$17*G$16/(1+$B17)^DCF!$H$5-DCF!$C$29)/DCF!$C$31</f>
        <v/>
      </c>
    </row>
    <row r="18">
      <c r="B18" s="42">
        <f>DCF!$C$23+(-1)*$C$4</f>
        <v/>
      </c>
      <c r="C18" s="43">
        <f>(SUMPRODUCT(DCF!$D$16:$H$16/(1+$B18)^DCF!$D$18:$H$18)+DCF!$H$17*C$16/(1+$B18)^DCF!$H$5-DCF!$C$29)/DCF!$C$31</f>
        <v/>
      </c>
      <c r="D18" s="43">
        <f>(SUMPRODUCT(DCF!$D$16:$H$16/(1+$B18)^DCF!$D$18:$H$18)+DCF!$H$17*D$16/(1+$B18)^DCF!$H$5-DCF!$C$29)/DCF!$C$31</f>
        <v/>
      </c>
      <c r="E18" s="43">
        <f>(SUMPRODUCT(DCF!$D$16:$H$16/(1+$B18)^DCF!$D$18:$H$18)+DCF!$H$17*E$16/(1+$B18)^DCF!$H$5-DCF!$C$29)/DCF!$C$31</f>
        <v/>
      </c>
      <c r="F18" s="43">
        <f>(SUMPRODUCT(DCF!$D$16:$H$16/(1+$B18)^DCF!$D$18:$H$18)+DCF!$H$17*F$16/(1+$B18)^DCF!$H$5-DCF!$C$29)/DCF!$C$31</f>
        <v/>
      </c>
      <c r="G18" s="43">
        <f>(SUMPRODUCT(DCF!$D$16:$H$16/(1+$B18)^DCF!$D$18:$H$18)+DCF!$H$17*G$16/(1+$B18)^DCF!$H$5-DCF!$C$29)/DCF!$C$31</f>
        <v/>
      </c>
    </row>
    <row r="19">
      <c r="B19" s="42">
        <f>DCF!$C$23+(0)*$C$4</f>
        <v/>
      </c>
      <c r="C19" s="43">
        <f>(SUMPRODUCT(DCF!$D$16:$H$16/(1+$B19)^DCF!$D$18:$H$18)+DCF!$H$17*C$16/(1+$B19)^DCF!$H$5-DCF!$C$29)/DCF!$C$31</f>
        <v/>
      </c>
      <c r="D19" s="43">
        <f>(SUMPRODUCT(DCF!$D$16:$H$16/(1+$B19)^DCF!$D$18:$H$18)+DCF!$H$17*D$16/(1+$B19)^DCF!$H$5-DCF!$C$29)/DCF!$C$31</f>
        <v/>
      </c>
      <c r="E19" s="43">
        <f>(SUMPRODUCT(DCF!$D$16:$H$16/(1+$B19)^DCF!$D$18:$H$18)+DCF!$H$17*E$16/(1+$B19)^DCF!$H$5-DCF!$C$29)/DCF!$C$31</f>
        <v/>
      </c>
      <c r="F19" s="43">
        <f>(SUMPRODUCT(DCF!$D$16:$H$16/(1+$B19)^DCF!$D$18:$H$18)+DCF!$H$17*F$16/(1+$B19)^DCF!$H$5-DCF!$C$29)/DCF!$C$31</f>
        <v/>
      </c>
      <c r="G19" s="43">
        <f>(SUMPRODUCT(DCF!$D$16:$H$16/(1+$B19)^DCF!$D$18:$H$18)+DCF!$H$17*G$16/(1+$B19)^DCF!$H$5-DCF!$C$29)/DCF!$C$31</f>
        <v/>
      </c>
    </row>
    <row r="20">
      <c r="B20" s="42">
        <f>DCF!$C$23+(1)*$C$4</f>
        <v/>
      </c>
      <c r="C20" s="43">
        <f>(SUMPRODUCT(DCF!$D$16:$H$16/(1+$B20)^DCF!$D$18:$H$18)+DCF!$H$17*C$16/(1+$B20)^DCF!$H$5-DCF!$C$29)/DCF!$C$31</f>
        <v/>
      </c>
      <c r="D20" s="43">
        <f>(SUMPRODUCT(DCF!$D$16:$H$16/(1+$B20)^DCF!$D$18:$H$18)+DCF!$H$17*D$16/(1+$B20)^DCF!$H$5-DCF!$C$29)/DCF!$C$31</f>
        <v/>
      </c>
      <c r="E20" s="43">
        <f>(SUMPRODUCT(DCF!$D$16:$H$16/(1+$B20)^DCF!$D$18:$H$18)+DCF!$H$17*E$16/(1+$B20)^DCF!$H$5-DCF!$C$29)/DCF!$C$31</f>
        <v/>
      </c>
      <c r="F20" s="43">
        <f>(SUMPRODUCT(DCF!$D$16:$H$16/(1+$B20)^DCF!$D$18:$H$18)+DCF!$H$17*F$16/(1+$B20)^DCF!$H$5-DCF!$C$29)/DCF!$C$31</f>
        <v/>
      </c>
      <c r="G20" s="43">
        <f>(SUMPRODUCT(DCF!$D$16:$H$16/(1+$B20)^DCF!$D$18:$H$18)+DCF!$H$17*G$16/(1+$B20)^DCF!$H$5-DCF!$C$29)/DCF!$C$31</f>
        <v/>
      </c>
    </row>
    <row r="21">
      <c r="B21" s="42">
        <f>DCF!$C$23+(2)*$C$4</f>
        <v/>
      </c>
      <c r="C21" s="43">
        <f>(SUMPRODUCT(DCF!$D$16:$H$16/(1+$B21)^DCF!$D$18:$H$18)+DCF!$H$17*C$16/(1+$B21)^DCF!$H$5-DCF!$C$29)/DCF!$C$31</f>
        <v/>
      </c>
      <c r="D21" s="43">
        <f>(SUMPRODUCT(DCF!$D$16:$H$16/(1+$B21)^DCF!$D$18:$H$18)+DCF!$H$17*D$16/(1+$B21)^DCF!$H$5-DCF!$C$29)/DCF!$C$31</f>
        <v/>
      </c>
      <c r="E21" s="43">
        <f>(SUMPRODUCT(DCF!$D$16:$H$16/(1+$B21)^DCF!$D$18:$H$18)+DCF!$H$17*E$16/(1+$B21)^DCF!$H$5-DCF!$C$29)/DCF!$C$31</f>
        <v/>
      </c>
      <c r="F21" s="43">
        <f>(SUMPRODUCT(DCF!$D$16:$H$16/(1+$B21)^DCF!$D$18:$H$18)+DCF!$H$17*F$16/(1+$B21)^DCF!$H$5-DCF!$C$29)/DCF!$C$31</f>
        <v/>
      </c>
      <c r="G21" s="43">
        <f>(SUMPRODUCT(DCF!$D$16:$H$16/(1+$B21)^DCF!$D$18:$H$18)+DCF!$H$17*G$16/(1+$B21)^DCF!$H$5-DCF!$C$29)/DCF!$C$31</f>
        <v/>
      </c>
    </row>
    <row r="23">
      <c r="B23" s="21" t="inlineStr">
        <is>
          <t>Current share price</t>
        </is>
      </c>
      <c r="C23" s="43">
        <f>Assumptions!$C$17</f>
        <v/>
      </c>
    </row>
  </sheetData>
  <conditionalFormatting sqref="C8:G12">
    <cfRule type="colorScale" priority="1">
      <colorScale>
        <cfvo type="min"/>
        <cfvo type="percentile" val="50"/>
        <cfvo type="max"/>
        <color rgb="00F4CCCC"/>
        <color rgb="00FFFFFF"/>
        <color rgb="00C9E7D2"/>
      </colorScale>
    </cfRule>
  </conditionalFormatting>
  <conditionalFormatting sqref="C17:G21">
    <cfRule type="colorScale" priority="2">
      <colorScale>
        <cfvo type="min"/>
        <cfvo type="percentile" val="50"/>
        <cfvo type="max"/>
        <color rgb="00F4CCCC"/>
        <color rgb="00FFFFFF"/>
        <color rgb="00C9E7D2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8"/>
    <outlinePr summaryBelow="1" summaryRight="1"/>
    <pageSetUpPr/>
  </sheetPr>
  <dimension ref="B1:Q21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B1" s="12" t="inlineStr">
        <is>
          <t>Trading comparables (latest fiscal year; $m except per share)</t>
        </is>
      </c>
    </row>
    <row r="2">
      <c r="B2" s="3" t="inlineStr">
        <is>
          <t>Multiples on the latest reported fiscal year. Negative or extreme multiples are blanked (not meaningful).</t>
        </is>
      </c>
    </row>
    <row r="4">
      <c r="B4" s="23" t="inlineStr">
        <is>
          <t>Ticker</t>
        </is>
      </c>
      <c r="C4" s="24" t="inlineStr">
        <is>
          <t>Company</t>
        </is>
      </c>
      <c r="D4" s="24" t="inlineStr">
        <is>
          <t>FY</t>
        </is>
      </c>
      <c r="E4" s="24" t="inlineStr">
        <is>
          <t>Price ($)</t>
        </is>
      </c>
      <c r="F4" s="24" t="inlineStr">
        <is>
          <t>Shares (m)</t>
        </is>
      </c>
      <c r="G4" s="24" t="inlineStr">
        <is>
          <t>Market cap</t>
        </is>
      </c>
      <c r="H4" s="24" t="inlineStr">
        <is>
          <t>Debt</t>
        </is>
      </c>
      <c r="I4" s="24" t="inlineStr">
        <is>
          <t>Cash + ST inv.</t>
        </is>
      </c>
      <c r="J4" s="24" t="inlineStr">
        <is>
          <t>Enterprise value</t>
        </is>
      </c>
      <c r="K4" s="24" t="inlineStr">
        <is>
          <t>Revenue</t>
        </is>
      </c>
      <c r="L4" s="24" t="inlineStr">
        <is>
          <t>EBITDA</t>
        </is>
      </c>
      <c r="M4" s="24" t="inlineStr">
        <is>
          <t>Net income</t>
        </is>
      </c>
      <c r="N4" s="24" t="inlineStr">
        <is>
          <t>EV / Revenue</t>
        </is>
      </c>
      <c r="O4" s="24" t="inlineStr">
        <is>
          <t>EV / EBITDA</t>
        </is>
      </c>
      <c r="P4" s="24" t="inlineStr">
        <is>
          <t>P / E</t>
        </is>
      </c>
      <c r="Q4" s="24" t="inlineStr">
        <is>
          <t>EBIT margin</t>
        </is>
      </c>
    </row>
    <row r="5">
      <c r="B5" s="10" t="inlineStr">
        <is>
          <t>LULU</t>
        </is>
      </c>
      <c r="C5" s="10" t="inlineStr">
        <is>
          <t>lululemon athletica inc.</t>
        </is>
      </c>
      <c r="D5" s="17" t="n">
        <v>2025</v>
      </c>
      <c r="E5" s="18" t="n">
        <v>94.28500366210938</v>
      </c>
      <c r="F5" s="19" t="n">
        <v>105.594064</v>
      </c>
      <c r="G5" s="25">
        <f>E5*F5</f>
        <v/>
      </c>
      <c r="H5" s="20" t="n">
        <v>0</v>
      </c>
      <c r="I5" s="20" t="n">
        <v>1389.737</v>
      </c>
      <c r="J5" s="25">
        <f>G5+H5-I5</f>
        <v/>
      </c>
      <c r="K5" s="20" t="n">
        <v>11102.6</v>
      </c>
      <c r="L5" s="20" t="n">
        <v>2706.843</v>
      </c>
      <c r="M5" s="20" t="n">
        <v>1579.183</v>
      </c>
      <c r="N5" s="27">
        <f>IFERROR(J5/K5,"")</f>
        <v/>
      </c>
      <c r="O5" s="27">
        <f>IF(AND(L5&gt;0,J5/L5&lt;=60,J5&gt;0),J5/L5,"")</f>
        <v/>
      </c>
      <c r="P5" s="27">
        <f>IF(AND(M5&gt;0,G5/M5&lt;=100),G5/M5,"")</f>
        <v/>
      </c>
      <c r="Q5" s="14" t="n">
        <v>0.1991078666258354</v>
      </c>
    </row>
    <row r="6">
      <c r="B6" s="10" t="inlineStr">
        <is>
          <t>DECK</t>
        </is>
      </c>
      <c r="C6" s="10" t="inlineStr">
        <is>
          <t>DECKERS OUTDOOR CORP</t>
        </is>
      </c>
      <c r="D6" s="17" t="n">
        <v>2026</v>
      </c>
      <c r="E6" s="18" t="n">
        <v>83.53749847412109</v>
      </c>
      <c r="F6" s="19" t="n">
        <v>136.414227</v>
      </c>
      <c r="G6" s="25">
        <f>E6*F6</f>
        <v/>
      </c>
      <c r="H6" s="20" t="n">
        <v>0</v>
      </c>
      <c r="I6" s="20" t="n">
        <v>1602.589</v>
      </c>
      <c r="J6" s="25">
        <f>G6+H6-I6</f>
        <v/>
      </c>
      <c r="K6" s="20" t="n">
        <v>5472.296</v>
      </c>
      <c r="L6" s="20" t="n">
        <v>1338.676</v>
      </c>
      <c r="M6" s="20" t="n">
        <v>1024.071</v>
      </c>
      <c r="N6" s="27">
        <f>IFERROR(J6/K6,"")</f>
        <v/>
      </c>
      <c r="O6" s="27">
        <f>IF(AND(L6&gt;0,J6/L6&lt;=60,J6&gt;0),J6/L6,"")</f>
        <v/>
      </c>
      <c r="P6" s="27">
        <f>IF(AND(M6&gt;0,G6/M6&lt;=100),G6/M6,"")</f>
        <v/>
      </c>
      <c r="Q6" s="14" t="n">
        <v>0.2307811931225942</v>
      </c>
    </row>
    <row r="7">
      <c r="B7" s="10" t="inlineStr">
        <is>
          <t>CROX</t>
        </is>
      </c>
      <c r="C7" s="10" t="inlineStr">
        <is>
          <t>Crocs, Inc.</t>
        </is>
      </c>
      <c r="D7" s="17" t="n">
        <v>2025</v>
      </c>
      <c r="E7" s="18" t="n">
        <v>117.879997253418</v>
      </c>
      <c r="F7" s="19" t="n">
        <v>47.945075</v>
      </c>
      <c r="G7" s="25">
        <f>E7*F7</f>
        <v/>
      </c>
      <c r="H7" s="20" t="n">
        <v>1334</v>
      </c>
      <c r="I7" s="20" t="n">
        <v>170.276</v>
      </c>
      <c r="J7" s="25">
        <f>G7+H7-I7</f>
        <v/>
      </c>
      <c r="K7" s="20" t="n">
        <v>4040.647</v>
      </c>
      <c r="L7" s="20" t="n">
        <v>228.797</v>
      </c>
      <c r="M7" s="20" t="n">
        <v>-81.19799999999999</v>
      </c>
      <c r="N7" s="27">
        <f>IFERROR(J7/K7,"")</f>
        <v/>
      </c>
      <c r="O7" s="27">
        <f>IF(AND(L7&gt;0,J7/L7&lt;=60,J7&gt;0),J7/L7,"")</f>
        <v/>
      </c>
      <c r="P7" s="27">
        <f>IF(AND(M7&gt;0,G7/M7&lt;=100),G7/M7,"")</f>
        <v/>
      </c>
      <c r="Q7" s="14" t="n">
        <v>0.03700273743289131</v>
      </c>
    </row>
    <row r="8">
      <c r="B8" s="10" t="inlineStr">
        <is>
          <t>UAA</t>
        </is>
      </c>
      <c r="C8" s="10" t="inlineStr">
        <is>
          <t>Under Armour, Inc.</t>
        </is>
      </c>
      <c r="D8" s="17" t="n">
        <v>2026</v>
      </c>
      <c r="E8" s="18" t="n">
        <v>4.940000057220459</v>
      </c>
      <c r="F8" s="19" t="n">
        <v>431.937</v>
      </c>
      <c r="G8" s="25">
        <f>E8*F8</f>
        <v/>
      </c>
      <c r="H8" s="20" t="n">
        <v>591.158</v>
      </c>
      <c r="I8" s="20" t="n">
        <v>395.981</v>
      </c>
      <c r="J8" s="25">
        <f>G8+H8-I8</f>
        <v/>
      </c>
      <c r="K8" s="20" t="n">
        <v>4966.37</v>
      </c>
      <c r="L8" s="20" t="n">
        <v>-53.489</v>
      </c>
      <c r="M8" s="20" t="n">
        <v>-495.643</v>
      </c>
      <c r="N8" s="27">
        <f>IFERROR(J8/K8,"")</f>
        <v/>
      </c>
      <c r="O8" s="27">
        <f>IF(AND(L8&gt;0,J8/L8&lt;=60,J8&gt;0),J8/L8,"")</f>
        <v/>
      </c>
      <c r="P8" s="27">
        <f>IF(AND(M8&gt;0,G8/M8&lt;=100),G8/M8,"")</f>
        <v/>
      </c>
      <c r="Q8" s="14" t="n">
        <v>-0.0328433040631286</v>
      </c>
    </row>
    <row r="9">
      <c r="B9" s="10" t="inlineStr">
        <is>
          <t>VFC</t>
        </is>
      </c>
      <c r="C9" s="10" t="inlineStr">
        <is>
          <t>V F CORP</t>
        </is>
      </c>
      <c r="D9" s="17" t="n">
        <v>2026</v>
      </c>
      <c r="E9" s="18" t="n">
        <v>15.76500034332275</v>
      </c>
      <c r="F9" s="19" t="n">
        <v>391.769705</v>
      </c>
      <c r="G9" s="25">
        <f>E9*F9</f>
        <v/>
      </c>
      <c r="H9" s="20" t="n">
        <v>3530.009</v>
      </c>
      <c r="I9" s="20" t="n">
        <v>823.943</v>
      </c>
      <c r="J9" s="25">
        <f>G9+H9-I9</f>
        <v/>
      </c>
      <c r="K9" s="20" t="n">
        <v>9605.207</v>
      </c>
      <c r="L9" s="20" t="n">
        <v>857.098</v>
      </c>
      <c r="M9" s="20" t="n">
        <v>254.92</v>
      </c>
      <c r="N9" s="27">
        <f>IFERROR(J9/K9,"")</f>
        <v/>
      </c>
      <c r="O9" s="27">
        <f>IF(AND(L9&gt;0,J9/L9&lt;=60,J9&gt;0),J9/L9,"")</f>
        <v/>
      </c>
      <c r="P9" s="27">
        <f>IF(AND(M9&gt;0,G9/M9&lt;=100),G9/M9,"")</f>
        <v/>
      </c>
      <c r="Q9" s="14" t="n">
        <v>0.06002671259453336</v>
      </c>
    </row>
    <row r="10">
      <c r="B10" s="10" t="inlineStr">
        <is>
          <t>COLM</t>
        </is>
      </c>
      <c r="C10" s="10" t="inlineStr">
        <is>
          <t>COLUMBIA SPORTSWEAR CO</t>
        </is>
      </c>
      <c r="D10" s="17" t="n">
        <v>2025</v>
      </c>
      <c r="E10" s="18" t="n">
        <v>56.34999847412109</v>
      </c>
      <c r="F10" s="19" t="n">
        <v>51.193194</v>
      </c>
      <c r="G10" s="25">
        <f>E10*F10</f>
        <v/>
      </c>
      <c r="H10" s="20" t="n">
        <v>0</v>
      </c>
      <c r="I10" s="20" t="n">
        <v>624.601</v>
      </c>
      <c r="J10" s="25">
        <f>G10+H10-I10</f>
        <v/>
      </c>
      <c r="K10" s="20" t="n">
        <v>3397.351</v>
      </c>
      <c r="L10" s="20" t="n">
        <v>263.874</v>
      </c>
      <c r="M10" s="20" t="n">
        <v>177.224</v>
      </c>
      <c r="N10" s="27">
        <f>IFERROR(J10/K10,"")</f>
        <v/>
      </c>
      <c r="O10" s="27">
        <f>IF(AND(L10&gt;0,J10/L10&lt;=60,J10&gt;0),J10/L10,"")</f>
        <v/>
      </c>
      <c r="P10" s="27">
        <f>IF(AND(M10&gt;0,G10/M10&lt;=100),G10/M10,"")</f>
        <v/>
      </c>
      <c r="Q10" s="14" t="n">
        <v>0.06094130397477329</v>
      </c>
    </row>
    <row r="11">
      <c r="B11" s="45" t="inlineStr">
        <is>
          <t>NKE</t>
        </is>
      </c>
      <c r="C11" s="45" t="inlineStr">
        <is>
          <t>NIKE, Inc.</t>
        </is>
      </c>
      <c r="D11" s="46" t="n">
        <v>2026</v>
      </c>
      <c r="E11" s="47" t="n">
        <v>35.05500030517578</v>
      </c>
      <c r="F11" s="48" t="n">
        <v>1484.2</v>
      </c>
      <c r="G11" s="49">
        <f>E11*F11</f>
        <v/>
      </c>
      <c r="H11" s="50" t="n">
        <v>7893</v>
      </c>
      <c r="I11" s="50" t="n">
        <v>8368</v>
      </c>
      <c r="J11" s="49">
        <f>G11+H11-I11</f>
        <v/>
      </c>
      <c r="K11" s="50" t="n">
        <v>46398</v>
      </c>
      <c r="L11" s="50" t="n">
        <v>4544</v>
      </c>
      <c r="M11" s="50" t="n">
        <v>3108</v>
      </c>
      <c r="N11" s="51">
        <f>IFERROR(J11/K11,"")</f>
        <v/>
      </c>
      <c r="O11" s="51">
        <f>IF(AND(L11&gt;0,J11/L11&lt;=60,J11&gt;0),J11/L11,"")</f>
        <v/>
      </c>
      <c r="P11" s="51">
        <f>IF(AND(M11&gt;0,G11/M11&lt;=100),G11/M11,"")</f>
        <v/>
      </c>
      <c r="Q11" s="52" t="n">
        <v>0.0818354239406871</v>
      </c>
    </row>
    <row r="13">
      <c r="C13" s="21" t="inlineStr">
        <is>
          <t>Peer 25th percentile</t>
        </is>
      </c>
      <c r="N13" s="53">
        <f>IFERROR(QUARTILE(N5:N10,1),"")</f>
        <v/>
      </c>
      <c r="O13" s="53">
        <f>IFERROR(QUARTILE(O5:O10,1),"")</f>
        <v/>
      </c>
      <c r="P13" s="53">
        <f>IFERROR(QUARTILE(P5:P10,1),"")</f>
        <v/>
      </c>
      <c r="Q13" s="54">
        <f>IFERROR(QUARTILE(Q5:Q10,1),"")</f>
        <v/>
      </c>
    </row>
    <row r="14">
      <c r="C14" s="21" t="inlineStr">
        <is>
          <t>Peer median</t>
        </is>
      </c>
      <c r="N14" s="53">
        <f>IFERROR(MEDIAN(N5:N10),"")</f>
        <v/>
      </c>
      <c r="O14" s="53">
        <f>IFERROR(MEDIAN(O5:O10),"")</f>
        <v/>
      </c>
      <c r="P14" s="53">
        <f>IFERROR(MEDIAN(P5:P10),"")</f>
        <v/>
      </c>
      <c r="Q14" s="54">
        <f>IFERROR(MEDIAN(Q5:Q10),"")</f>
        <v/>
      </c>
    </row>
    <row r="15">
      <c r="C15" s="21" t="inlineStr">
        <is>
          <t>Peer 75th percentile</t>
        </is>
      </c>
      <c r="N15" s="53">
        <f>IFERROR(QUARTILE(N5:N10,3),"")</f>
        <v/>
      </c>
      <c r="O15" s="53">
        <f>IFERROR(QUARTILE(O5:O10,3),"")</f>
        <v/>
      </c>
      <c r="P15" s="53">
        <f>IFERROR(QUARTILE(P5:P10,3),"")</f>
        <v/>
      </c>
      <c r="Q15" s="54">
        <f>IFERROR(QUARTILE(Q5:Q10,3),"")</f>
        <v/>
      </c>
    </row>
    <row r="17">
      <c r="B17" s="9" t="inlineStr">
        <is>
          <t>Implied value per share for NKE ($)</t>
        </is>
      </c>
    </row>
    <row r="18">
      <c r="B18" s="23" t="inlineStr"/>
      <c r="C18" s="24" t="inlineStr">
        <is>
          <t>Method</t>
        </is>
      </c>
      <c r="D18" s="24" t="inlineStr">
        <is>
          <t>Low (Q1)</t>
        </is>
      </c>
      <c r="E18" s="24" t="inlineStr">
        <is>
          <t>Median</t>
        </is>
      </c>
      <c r="F18" s="24" t="inlineStr">
        <is>
          <t>High (Q3)</t>
        </is>
      </c>
    </row>
    <row r="19">
      <c r="C19" s="21" t="inlineStr">
        <is>
          <t>EV / EBITDA</t>
        </is>
      </c>
      <c r="D19" s="43">
        <f>IFERROR((O13*L11-(Assumptions!$C$22))/F11,"")</f>
        <v/>
      </c>
      <c r="E19" s="43">
        <f>IFERROR((O14*L11-(Assumptions!$C$22))/F11,"")</f>
        <v/>
      </c>
      <c r="F19" s="43">
        <f>IFERROR((O15*L11-(Assumptions!$C$22))/F11,"")</f>
        <v/>
      </c>
    </row>
    <row r="20">
      <c r="C20" s="21" t="inlineStr">
        <is>
          <t>P / E</t>
        </is>
      </c>
      <c r="D20" s="55">
        <f>IFERROR(P13*M11/F11,"")</f>
        <v/>
      </c>
      <c r="E20" s="55">
        <f>IFERROR(P14*M11/F11,"")</f>
        <v/>
      </c>
      <c r="F20" s="55">
        <f>IFERROR(P15*M11/F11,"")</f>
        <v/>
      </c>
    </row>
    <row r="21">
      <c r="C21" s="21" t="inlineStr">
        <is>
          <t>EV / Revenue</t>
        </is>
      </c>
      <c r="D21" s="43">
        <f>IFERROR((N13*K11-(Assumptions!$C$22))/F11,"")</f>
        <v/>
      </c>
      <c r="E21" s="43">
        <f>IFERROR((N14*K11-(Assumptions!$C$22))/F11,"")</f>
        <v/>
      </c>
      <c r="F21" s="43">
        <f>IFERROR((N15*K11-(Assumptions!$C$22))/F11,"")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2A44"/>
    <outlinePr summaryBelow="1" summaryRight="1"/>
    <pageSetUpPr/>
  </sheetPr>
  <dimension ref="B1:I26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B1" s="12" t="inlineStr">
        <is>
          <t>NIKE, Inc. (NKE): valuation summary</t>
        </is>
      </c>
    </row>
    <row r="2">
      <c r="B2" s="3" t="inlineStr">
        <is>
          <t>Football field, blended price target and rating, all linked to the model.</t>
        </is>
      </c>
    </row>
    <row r="4">
      <c r="B4" s="23" t="inlineStr">
        <is>
          <t>Method</t>
        </is>
      </c>
      <c r="C4" s="24" t="inlineStr">
        <is>
          <t>Low ($)</t>
        </is>
      </c>
      <c r="D4" s="24" t="inlineStr">
        <is>
          <t>High ($)</t>
        </is>
      </c>
      <c r="E4" s="24" t="inlineStr">
        <is>
          <t>Midpoint ($)</t>
        </is>
      </c>
      <c r="F4" s="24" t="inlineStr">
        <is>
          <t>Basis</t>
        </is>
      </c>
      <c r="H4" s="56" t="inlineStr">
        <is>
          <t>Chart helper</t>
        </is>
      </c>
    </row>
    <row r="5">
      <c r="B5" s="10" t="inlineStr">
        <is>
          <t>52-week trading range (closing prices)</t>
        </is>
      </c>
      <c r="C5" s="18" t="n">
        <v>33.86999893188477</v>
      </c>
      <c r="D5" s="18" t="n">
        <v>69.68000030517578</v>
      </c>
      <c r="E5" s="55">
        <f>IFERROR((C5+D5)/2,"")</f>
        <v/>
      </c>
      <c r="F5" s="3" t="inlineStr">
        <is>
          <t>Market data</t>
        </is>
      </c>
      <c r="H5" s="10" t="inlineStr">
        <is>
          <t>Low</t>
        </is>
      </c>
      <c r="I5" s="10" t="inlineStr">
        <is>
          <t>Range</t>
        </is>
      </c>
    </row>
    <row r="6">
      <c r="B6" s="10" t="inlineStr">
        <is>
          <t>Trading comps: EV / EBITDA (peer Q1–Q3)</t>
        </is>
      </c>
      <c r="C6" s="43">
        <f>Comps!$D$19</f>
        <v/>
      </c>
      <c r="D6" s="43">
        <f>Comps!$F$19</f>
        <v/>
      </c>
      <c r="E6" s="55">
        <f>IFERROR((C6+D6)/2,"")</f>
        <v/>
      </c>
      <c r="F6" s="3" t="inlineStr">
        <is>
          <t>Comps sheet</t>
        </is>
      </c>
      <c r="G6" s="57">
        <f>B5</f>
        <v/>
      </c>
      <c r="H6" s="58">
        <f>C5</f>
        <v/>
      </c>
      <c r="I6" s="58">
        <f>D5-C5</f>
        <v/>
      </c>
    </row>
    <row r="7">
      <c r="B7" s="10" t="inlineStr">
        <is>
          <t>Trading comps: P / E (peer Q1–Q3)</t>
        </is>
      </c>
      <c r="C7" s="43">
        <f>Comps!$D$20</f>
        <v/>
      </c>
      <c r="D7" s="43">
        <f>Comps!$F$20</f>
        <v/>
      </c>
      <c r="E7" s="55">
        <f>IFERROR((C7+D7)/2,"")</f>
        <v/>
      </c>
      <c r="F7" s="3" t="inlineStr">
        <is>
          <t>Comps sheet</t>
        </is>
      </c>
      <c r="G7" s="57">
        <f>B6</f>
        <v/>
      </c>
      <c r="H7" s="58">
        <f>C6</f>
        <v/>
      </c>
      <c r="I7" s="58">
        <f>D6-C6</f>
        <v/>
      </c>
    </row>
    <row r="8">
      <c r="B8" s="10" t="inlineStr">
        <is>
          <t>DCF: perpetuity growth (WACC ±0.5pp, g ±0.25pp)</t>
        </is>
      </c>
      <c r="C8" s="43">
        <f>MIN(Sensitivity!$D$9:$F$11)</f>
        <v/>
      </c>
      <c r="D8" s="43">
        <f>MAX(Sensitivity!$D$9:$F$11)</f>
        <v/>
      </c>
      <c r="E8" s="55">
        <f>IFERROR((C8+D8)/2,"")</f>
        <v/>
      </c>
      <c r="F8" s="3" t="inlineStr">
        <is>
          <t>Sensitivity sheet</t>
        </is>
      </c>
      <c r="G8" s="57">
        <f>B7</f>
        <v/>
      </c>
      <c r="H8" s="58">
        <f>C7</f>
        <v/>
      </c>
      <c r="I8" s="58">
        <f>D7-C7</f>
        <v/>
      </c>
    </row>
    <row r="9">
      <c r="B9" s="10" t="inlineStr">
        <is>
          <t>DCF: exit multiple (WACC ±0.5pp, multiple ±1x)</t>
        </is>
      </c>
      <c r="C9" s="43">
        <f>MIN(Sensitivity!$D$18:$F$20)</f>
        <v/>
      </c>
      <c r="D9" s="43">
        <f>MAX(Sensitivity!$D$18:$F$20)</f>
        <v/>
      </c>
      <c r="E9" s="55">
        <f>IFERROR((C9+D9)/2,"")</f>
        <v/>
      </c>
      <c r="F9" s="3" t="inlineStr">
        <is>
          <t>Sensitivity sheet</t>
        </is>
      </c>
      <c r="G9" s="57">
        <f>B8</f>
        <v/>
      </c>
      <c r="H9" s="58">
        <f>C8</f>
        <v/>
      </c>
      <c r="I9" s="58">
        <f>D8-C8</f>
        <v/>
      </c>
    </row>
    <row r="10">
      <c r="B10" s="10" t="inlineStr">
        <is>
          <t>Scenarios: bear to bull (DCF snapshot)</t>
        </is>
      </c>
      <c r="C10" s="18" t="n">
        <v>22.45254984251579</v>
      </c>
      <c r="D10" s="18" t="n">
        <v>58.32474090200481</v>
      </c>
      <c r="E10" s="55">
        <f>IFERROR((C10+D10)/2,"")</f>
        <v/>
      </c>
      <c r="F10" s="3" t="inlineStr">
        <is>
          <t>Snapshot; switch the scenario on Assumptions to recompute live</t>
        </is>
      </c>
      <c r="G10" s="57">
        <f>B9</f>
        <v/>
      </c>
      <c r="H10" s="58">
        <f>C9</f>
        <v/>
      </c>
      <c r="I10" s="58">
        <f>D9-C9</f>
        <v/>
      </c>
    </row>
    <row r="11">
      <c r="G11" s="57">
        <f>B10</f>
        <v/>
      </c>
      <c r="H11" s="58">
        <f>C10</f>
        <v/>
      </c>
      <c r="I11" s="58">
        <f>D10-C10</f>
        <v/>
      </c>
    </row>
    <row r="12">
      <c r="B12" s="9" t="inlineStr">
        <is>
          <t>Blended price target</t>
        </is>
      </c>
    </row>
    <row r="13">
      <c r="B13" s="23" t="inlineStr">
        <is>
          <t>Component</t>
        </is>
      </c>
      <c r="C13" s="24" t="inlineStr">
        <is>
          <t>Value ($)</t>
        </is>
      </c>
      <c r="D13" s="24" t="inlineStr">
        <is>
          <t>Weight</t>
        </is>
      </c>
      <c r="E13" s="24" t="inlineStr">
        <is>
          <t>Contribution</t>
        </is>
      </c>
    </row>
    <row r="14">
      <c r="B14" s="10" t="inlineStr">
        <is>
          <t>DCF: perpetuity growth</t>
        </is>
      </c>
      <c r="C14" s="43">
        <f>DCF!$C$32</f>
        <v/>
      </c>
      <c r="D14" s="31">
        <f>Assumptions!$C$42</f>
        <v/>
      </c>
      <c r="E14" s="55">
        <f>IFERROR(C14*D14,0)</f>
        <v/>
      </c>
    </row>
    <row r="15">
      <c r="B15" s="10" t="inlineStr">
        <is>
          <t>DCF: exit multiple</t>
        </is>
      </c>
      <c r="C15" s="43">
        <f>DCF!$C$42</f>
        <v/>
      </c>
      <c r="D15" s="31">
        <f>Assumptions!$C$43</f>
        <v/>
      </c>
      <c r="E15" s="55">
        <f>IFERROR(C15*D15,0)</f>
        <v/>
      </c>
    </row>
    <row r="16">
      <c r="B16" s="10" t="inlineStr">
        <is>
          <t>Trading comps: EV / EBITDA median</t>
        </is>
      </c>
      <c r="C16" s="43">
        <f>Comps!$E$19</f>
        <v/>
      </c>
      <c r="D16" s="31">
        <f>Assumptions!$C$44</f>
        <v/>
      </c>
      <c r="E16" s="55">
        <f>IFERROR(C16*D16,0)</f>
        <v/>
      </c>
    </row>
    <row r="17">
      <c r="B17" s="21" t="inlineStr">
        <is>
          <t>Price target</t>
        </is>
      </c>
      <c r="C17" s="59">
        <f>SUM(E14:E16)/SUMPRODUCT(--ISNUMBER(C14:C16),D14:D16)</f>
        <v/>
      </c>
    </row>
    <row r="18">
      <c r="B18" s="10" t="inlineStr">
        <is>
          <t>Current share price</t>
        </is>
      </c>
      <c r="C18" s="43">
        <f>Assumptions!$C$17</f>
        <v/>
      </c>
    </row>
    <row r="19">
      <c r="B19" s="21" t="inlineStr">
        <is>
          <t>Implied upside / (downside)</t>
        </is>
      </c>
      <c r="C19" s="32">
        <f>C17/C18-1</f>
        <v/>
      </c>
    </row>
    <row r="20">
      <c r="B20" s="21" t="inlineStr">
        <is>
          <t>Rating</t>
        </is>
      </c>
      <c r="C20" s="60">
        <f>IF(C19&gt;Assumptions!$C$45,"BUY",IF(C19&lt;Assumptions!$C$46,"SELL","HOLD"))</f>
        <v/>
      </c>
    </row>
    <row r="22">
      <c r="B22" s="9" t="inlineStr">
        <is>
          <t>Scenario snapshot (DCF perpetuity method)</t>
        </is>
      </c>
    </row>
    <row r="23">
      <c r="B23" s="23" t="inlineStr">
        <is>
          <t>Scenario</t>
        </is>
      </c>
      <c r="C23" s="24" t="inlineStr">
        <is>
          <t>Value per share ($)</t>
        </is>
      </c>
      <c r="D23" s="24" t="inlineStr">
        <is>
          <t>vs price</t>
        </is>
      </c>
    </row>
    <row r="24">
      <c r="B24" s="10" t="inlineStr">
        <is>
          <t>Bear</t>
        </is>
      </c>
      <c r="C24" s="18" t="n">
        <v>22.45254984251579</v>
      </c>
      <c r="D24" s="26">
        <f>C24/$C$18-1</f>
        <v/>
      </c>
    </row>
    <row r="25">
      <c r="B25" s="10" t="inlineStr">
        <is>
          <t>Base</t>
        </is>
      </c>
      <c r="C25" s="18" t="n">
        <v>35.47329512205818</v>
      </c>
      <c r="D25" s="26">
        <f>C25/$C$18-1</f>
        <v/>
      </c>
    </row>
    <row r="26">
      <c r="B26" s="10" t="inlineStr">
        <is>
          <t>Bull</t>
        </is>
      </c>
      <c r="C26" s="18" t="n">
        <v>58.32474090200481</v>
      </c>
      <c r="D26" s="26">
        <f>C26/$C$18-1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9AA5B8"/>
    <outlinePr summaryBelow="1" summaryRight="1"/>
    <pageSetUpPr/>
  </sheetPr>
  <dimension ref="B1:K58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B1" s="12" t="inlineStr">
        <is>
          <t>NKE vs peers: benchmarking</t>
        </is>
      </c>
    </row>
    <row r="2">
      <c r="B2" s="3" t="inlineStr">
        <is>
          <t>Peers: LULU, DECK, CROX, UAA, VFC, COLM. Latest fiscal year for each company.</t>
        </is>
      </c>
    </row>
    <row r="4">
      <c r="B4" s="23" t="inlineStr">
        <is>
          <t>Metric</t>
        </is>
      </c>
      <c r="C4" s="24" t="inlineStr">
        <is>
          <t>NKE</t>
        </is>
      </c>
      <c r="D4" s="24" t="inlineStr">
        <is>
          <t>Peer median</t>
        </is>
      </c>
      <c r="E4" s="24" t="inlineStr">
        <is>
          <t>Peer Q1</t>
        </is>
      </c>
      <c r="F4" s="24" t="inlineStr">
        <is>
          <t>Peer Q3</t>
        </is>
      </c>
      <c r="G4" s="24" t="inlineStr">
        <is>
          <t>Percentile (100 = best)</t>
        </is>
      </c>
      <c r="H4" s="24" t="inlineStr">
        <is>
          <t>Verdict</t>
        </is>
      </c>
    </row>
    <row r="5">
      <c r="B5" s="10" t="inlineStr">
        <is>
          <t>Revenue growth</t>
        </is>
      </c>
      <c r="C5" s="14" t="n">
        <v>0.001921872638148026</v>
      </c>
      <c r="D5" s="14" t="n">
        <v>0.009557899178788798</v>
      </c>
      <c r="E5" s="14" t="n">
        <v>-0.00910199114466001</v>
      </c>
      <c r="F5" s="14" t="n">
        <v>0.03908613688694967</v>
      </c>
      <c r="G5" s="17" t="n">
        <v>35.71428571428571</v>
      </c>
      <c r="H5" s="61" t="inlineStr">
        <is>
          <t>Worse</t>
        </is>
      </c>
    </row>
    <row r="6">
      <c r="B6" s="10" t="inlineStr">
        <is>
          <t>Revenue CAGR (3y)</t>
        </is>
      </c>
      <c r="C6" s="14" t="n">
        <v>-0.03240182314747286</v>
      </c>
      <c r="D6" s="14" t="n">
        <v>0.0185695757494575</v>
      </c>
      <c r="E6" s="14" t="n">
        <v>-0.03669096074605613</v>
      </c>
      <c r="F6" s="14" t="n">
        <v>0.09366239376857893</v>
      </c>
      <c r="G6" s="17" t="n">
        <v>35.71428571428571</v>
      </c>
      <c r="H6" s="61" t="inlineStr">
        <is>
          <t>Worse</t>
        </is>
      </c>
    </row>
    <row r="7">
      <c r="B7" s="10" t="inlineStr">
        <is>
          <t>Gross margin</t>
        </is>
      </c>
      <c r="C7" s="14" t="n">
        <v>0.4291348765032976</v>
      </c>
      <c r="D7" s="14" t="n">
        <v>0.5569018146059612</v>
      </c>
      <c r="E7" s="14" t="n">
        <v>0.5159334968148261</v>
      </c>
      <c r="F7" s="14" t="n">
        <v>0.5742803069408633</v>
      </c>
      <c r="G7" s="17" t="n">
        <v>7.142857142857142</v>
      </c>
      <c r="H7" s="61" t="inlineStr">
        <is>
          <t>Worse</t>
        </is>
      </c>
    </row>
    <row r="8">
      <c r="B8" s="10" t="inlineStr">
        <is>
          <t>EBIT margin</t>
        </is>
      </c>
      <c r="C8" s="14" t="n">
        <v>0.0818354239406871</v>
      </c>
      <c r="D8" s="14" t="n">
        <v>0.06048400828465332</v>
      </c>
      <c r="E8" s="14" t="n">
        <v>0.04275873122330183</v>
      </c>
      <c r="F8" s="14" t="n">
        <v>0.1645662259630699</v>
      </c>
      <c r="G8" s="17" t="n">
        <v>64.28571428571428</v>
      </c>
      <c r="H8" s="62" t="inlineStr">
        <is>
          <t>Better</t>
        </is>
      </c>
    </row>
    <row r="9">
      <c r="B9" s="10" t="inlineStr">
        <is>
          <t>ROIC</t>
        </is>
      </c>
      <c r="C9" s="14" t="n">
        <v>0.2344944918689494</v>
      </c>
      <c r="D9" s="14" t="n">
        <v>0.1297970252635016</v>
      </c>
      <c r="E9" s="14" t="n">
        <v>0.04298820189555732</v>
      </c>
      <c r="F9" s="14" t="n">
        <v>0.4680797360813019</v>
      </c>
      <c r="G9" s="17" t="n">
        <v>64.28571428571428</v>
      </c>
      <c r="H9" s="62" t="inlineStr">
        <is>
          <t>Better</t>
        </is>
      </c>
    </row>
    <row r="10">
      <c r="B10" s="10" t="inlineStr">
        <is>
          <t>FCF margin</t>
        </is>
      </c>
      <c r="C10" s="14" t="n">
        <v>0.04707099443941549</v>
      </c>
      <c r="D10" s="14" t="n">
        <v>0.07340510997546049</v>
      </c>
      <c r="E10" s="14" t="n">
        <v>0.05940719555648014</v>
      </c>
      <c r="F10" s="14" t="n">
        <v>0.1431102271351169</v>
      </c>
      <c r="G10" s="17" t="n">
        <v>21.42857142857143</v>
      </c>
      <c r="H10" s="61" t="inlineStr">
        <is>
          <t>Worse</t>
        </is>
      </c>
    </row>
    <row r="11">
      <c r="B11" s="10" t="inlineStr">
        <is>
          <t>FCF conversion (FCF / net income)</t>
        </is>
      </c>
      <c r="C11" s="14" t="n">
        <v>0.7027027027027027</v>
      </c>
      <c r="D11" s="14" t="n">
        <v>1.147247057660285</v>
      </c>
      <c r="E11" s="14" t="n">
        <v>0.9495643391667836</v>
      </c>
      <c r="F11" s="14" t="n">
        <v>1.463041508507773</v>
      </c>
      <c r="G11" s="17" t="n">
        <v>30</v>
      </c>
      <c r="H11" s="61" t="inlineStr">
        <is>
          <t>Worse</t>
        </is>
      </c>
    </row>
    <row r="12">
      <c r="B12" s="10" t="inlineStr">
        <is>
          <t>Net debt / EBITDA</t>
        </is>
      </c>
      <c r="C12" s="41" t="n">
        <v>-0.2387764084507042</v>
      </c>
      <c r="D12" s="41" t="n">
        <v>-0.6676419725857762</v>
      </c>
      <c r="E12" s="41" t="n">
        <v>-1.424727865443169</v>
      </c>
      <c r="F12" s="41" t="n">
        <v>3.157242229009985</v>
      </c>
      <c r="G12" s="17" t="n">
        <v>41.66666666666667</v>
      </c>
      <c r="H12" s="61" t="inlineStr">
        <is>
          <t>Worse</t>
        </is>
      </c>
    </row>
    <row r="13">
      <c r="B13" s="10" t="inlineStr">
        <is>
          <t>Interest coverage (EBIT / interest)</t>
        </is>
      </c>
      <c r="C13" s="41" t="n">
        <v>11.75541795665635</v>
      </c>
      <c r="D13" s="41" t="n">
        <v>3.457249761649208</v>
      </c>
      <c r="E13" s="41" t="n">
        <v>1.693510935924881</v>
      </c>
      <c r="F13" s="41" t="n">
        <v>499.1711462450593</v>
      </c>
      <c r="G13" s="17" t="n">
        <v>58.33333333333333</v>
      </c>
      <c r="H13" s="62" t="inlineStr">
        <is>
          <t>Better</t>
        </is>
      </c>
    </row>
    <row r="14">
      <c r="B14" s="10" t="inlineStr">
        <is>
          <t>Inventory days</t>
        </is>
      </c>
      <c r="C14" s="17" t="n">
        <v>103.3663684071431</v>
      </c>
      <c r="D14" s="17" t="n">
        <v>119.2755038053936</v>
      </c>
      <c r="E14" s="17" t="n">
        <v>88.75638563027853</v>
      </c>
      <c r="F14" s="17" t="n">
        <v>127.4537290397623</v>
      </c>
      <c r="G14" s="17" t="n">
        <v>64.28571428571429</v>
      </c>
      <c r="H14" s="62" t="inlineStr">
        <is>
          <t>Better</t>
        </is>
      </c>
    </row>
    <row r="15">
      <c r="B15" s="10" t="inlineStr">
        <is>
          <t>Cash conversion cycle</t>
        </is>
      </c>
      <c r="C15" s="17" t="n">
        <v>100.4146329264361</v>
      </c>
      <c r="D15" s="17" t="n">
        <v>109.3068610182029</v>
      </c>
      <c r="E15" s="17" t="n">
        <v>100.0549524665108</v>
      </c>
      <c r="F15" s="17" t="n">
        <v>109.9950807579977</v>
      </c>
      <c r="G15" s="17" t="n">
        <v>58.33333333333334</v>
      </c>
      <c r="H15" s="62" t="inlineStr">
        <is>
          <t>Better</t>
        </is>
      </c>
    </row>
    <row r="18">
      <c r="B18" s="9" t="inlineStr">
        <is>
          <t>Trend: Revenue growth</t>
        </is>
      </c>
    </row>
    <row r="19">
      <c r="B19" s="23" t="inlineStr">
        <is>
          <t>Fiscal year</t>
        </is>
      </c>
      <c r="C19" s="24" t="inlineStr">
        <is>
          <t>FY2019</t>
        </is>
      </c>
      <c r="D19" s="24" t="inlineStr">
        <is>
          <t>FY2020</t>
        </is>
      </c>
      <c r="E19" s="24" t="inlineStr">
        <is>
          <t>FY2021</t>
        </is>
      </c>
      <c r="F19" s="24" t="inlineStr">
        <is>
          <t>FY2022</t>
        </is>
      </c>
      <c r="G19" s="24" t="inlineStr">
        <is>
          <t>FY2023</t>
        </is>
      </c>
      <c r="H19" s="24" t="inlineStr">
        <is>
          <t>FY2024</t>
        </is>
      </c>
      <c r="I19" s="24" t="inlineStr">
        <is>
          <t>FY2025</t>
        </is>
      </c>
      <c r="J19" s="24" t="inlineStr">
        <is>
          <t>FY2026</t>
        </is>
      </c>
    </row>
    <row r="20">
      <c r="B20" s="21" t="inlineStr">
        <is>
          <t>NKE</t>
        </is>
      </c>
      <c r="C20" s="14" t="n"/>
      <c r="D20" s="14" t="n">
        <v>-0.04381726615026715</v>
      </c>
      <c r="E20" s="14" t="n">
        <v>0.1907600994572627</v>
      </c>
      <c r="F20" s="14" t="n">
        <v>0.04876734473932376</v>
      </c>
      <c r="G20" s="14" t="n">
        <v>0.09648897452365657</v>
      </c>
      <c r="H20" s="14" t="n">
        <v>0.002831091239237082</v>
      </c>
      <c r="I20" s="14" t="n">
        <v>-0.09838012538452556</v>
      </c>
      <c r="J20" s="14" t="n">
        <v>0.001921872638148026</v>
      </c>
    </row>
    <row r="21">
      <c r="B21" s="10" t="inlineStr">
        <is>
          <t>Peer median</t>
        </is>
      </c>
      <c r="C21" s="14" t="n">
        <v>0.1082720254524987</v>
      </c>
      <c r="D21" s="14" t="n">
        <v>0.03857447537214331</v>
      </c>
      <c r="E21" s="14" t="n">
        <v>0.2598656981593461</v>
      </c>
      <c r="F21" s="14" t="n">
        <v>0.2817467146814046</v>
      </c>
      <c r="G21" s="14" t="n">
        <v>0.07670225603833614</v>
      </c>
      <c r="H21" s="14" t="n">
        <v>0.0006280949706003458</v>
      </c>
      <c r="I21" s="14" t="n">
        <v>-0.003221197828257527</v>
      </c>
      <c r="J21" s="14" t="n">
        <v>0.01057540955303016</v>
      </c>
    </row>
    <row r="22">
      <c r="B22" s="10" t="inlineStr">
        <is>
          <t>Peer Q1</t>
        </is>
      </c>
      <c r="C22" s="14" t="n">
        <v>0.06783284567732961</v>
      </c>
      <c r="D22" s="14" t="n">
        <v>-0.1074433902222273</v>
      </c>
      <c r="E22" s="14" t="n">
        <v>0.2076682827491558</v>
      </c>
      <c r="F22" s="14" t="n">
        <v>0.2375425285812101</v>
      </c>
      <c r="G22" s="14" t="n">
        <v>0.01469450571563097</v>
      </c>
      <c r="H22" s="14" t="n">
        <v>-0.03407750643684346</v>
      </c>
      <c r="I22" s="14" t="n">
        <v>-0.03483184574618348</v>
      </c>
      <c r="J22" s="14" t="n">
        <v>-0.01387652045396104</v>
      </c>
    </row>
    <row r="23">
      <c r="B23" s="10" t="inlineStr">
        <is>
          <t>Peer Q3</t>
        </is>
      </c>
      <c r="C23" s="14" t="n">
        <v>0.1506676943723054</v>
      </c>
      <c r="D23" s="14" t="n">
        <v>0.09353613254539195</v>
      </c>
      <c r="E23" s="14" t="n">
        <v>0.3835004360714511</v>
      </c>
      <c r="F23" s="14" t="n">
        <v>0.2963104502001641</v>
      </c>
      <c r="G23" s="14" t="n">
        <v>0.1421938273593709</v>
      </c>
      <c r="H23" s="14" t="n">
        <v>0.08435762631664551</v>
      </c>
      <c r="I23" s="14" t="n">
        <v>0.03857738169982899</v>
      </c>
      <c r="J23" s="14" t="n">
        <v>0.05409655713004757</v>
      </c>
    </row>
    <row r="25">
      <c r="B25" s="9" t="inlineStr">
        <is>
          <t>Trend: Gross margin</t>
        </is>
      </c>
    </row>
    <row r="26">
      <c r="B26" s="23" t="inlineStr">
        <is>
          <t>Fiscal year</t>
        </is>
      </c>
      <c r="C26" s="24" t="inlineStr">
        <is>
          <t>FY2018</t>
        </is>
      </c>
      <c r="D26" s="24" t="inlineStr">
        <is>
          <t>FY2019</t>
        </is>
      </c>
      <c r="E26" s="24" t="inlineStr">
        <is>
          <t>FY2020</t>
        </is>
      </c>
      <c r="F26" s="24" t="inlineStr">
        <is>
          <t>FY2021</t>
        </is>
      </c>
      <c r="G26" s="24" t="inlineStr">
        <is>
          <t>FY2022</t>
        </is>
      </c>
      <c r="H26" s="24" t="inlineStr">
        <is>
          <t>FY2023</t>
        </is>
      </c>
      <c r="I26" s="24" t="inlineStr">
        <is>
          <t>FY2024</t>
        </is>
      </c>
      <c r="J26" s="24" t="inlineStr">
        <is>
          <t>FY2025</t>
        </is>
      </c>
      <c r="K26" s="24" t="inlineStr">
        <is>
          <t>FY2026</t>
        </is>
      </c>
    </row>
    <row r="27">
      <c r="B27" s="21" t="inlineStr">
        <is>
          <t>NKE</t>
        </is>
      </c>
      <c r="C27" s="14" t="n"/>
      <c r="D27" s="14" t="n">
        <v>0.4467111486054657</v>
      </c>
      <c r="E27" s="14" t="n">
        <v>0.4342165066973238</v>
      </c>
      <c r="F27" s="14" t="n">
        <v>0.44820153576721</v>
      </c>
      <c r="G27" s="14" t="n">
        <v>0.4598372939413402</v>
      </c>
      <c r="H27" s="14" t="n">
        <v>0.4352461096901419</v>
      </c>
      <c r="I27" s="14" t="n">
        <v>0.445601806783225</v>
      </c>
      <c r="J27" s="14" t="n">
        <v>0.4273467360556263</v>
      </c>
      <c r="K27" s="14" t="n">
        <v>0.4291348765032976</v>
      </c>
    </row>
    <row r="28">
      <c r="B28" s="10" t="inlineStr">
        <is>
          <t>Peer median</t>
        </is>
      </c>
      <c r="C28" s="14" t="n">
        <v>0.5047318789695523</v>
      </c>
      <c r="D28" s="14" t="n">
        <v>0.508146831044487</v>
      </c>
      <c r="E28" s="14" t="n">
        <v>0.5293050869865765</v>
      </c>
      <c r="F28" s="14" t="n">
        <v>0.5333467449488983</v>
      </c>
      <c r="G28" s="14" t="n">
        <v>0.5232882839168098</v>
      </c>
      <c r="H28" s="14" t="n">
        <v>0.5129675822488216</v>
      </c>
      <c r="I28" s="14" t="n">
        <v>0.5359626830056536</v>
      </c>
      <c r="J28" s="14" t="n">
        <v>0.5504425032390806</v>
      </c>
      <c r="K28" s="14" t="n">
        <v>0.5477981890447545</v>
      </c>
    </row>
    <row r="29">
      <c r="B29" s="10" t="inlineStr">
        <is>
          <t>Peer Q1</t>
        </is>
      </c>
      <c r="C29" s="14" t="n">
        <v>0.4837052975543187</v>
      </c>
      <c r="D29" s="14" t="n">
        <v>0.4989846377210954</v>
      </c>
      <c r="E29" s="14" t="n">
        <v>0.496314366167993</v>
      </c>
      <c r="F29" s="14" t="n">
        <v>0.518543648389355</v>
      </c>
      <c r="G29" s="14" t="n">
        <v>0.510278735082161</v>
      </c>
      <c r="H29" s="14" t="n">
        <v>0.4978683211347982</v>
      </c>
      <c r="I29" s="14" t="n">
        <v>0.5054070173340816</v>
      </c>
      <c r="J29" s="14" t="n">
        <v>0.5127038411313859</v>
      </c>
      <c r="K29" s="14" t="n">
        <v>0.5013144904755584</v>
      </c>
    </row>
    <row r="30">
      <c r="B30" s="10" t="inlineStr">
        <is>
          <t>Peer Q3</t>
        </is>
      </c>
      <c r="C30" s="14" t="n">
        <v>0.524149111835103</v>
      </c>
      <c r="D30" s="14" t="n">
        <v>0.5385695807323155</v>
      </c>
      <c r="E30" s="14" t="n">
        <v>0.5498740884278503</v>
      </c>
      <c r="F30" s="14" t="n">
        <v>0.5675152127777621</v>
      </c>
      <c r="G30" s="14" t="n">
        <v>0.5451388466657209</v>
      </c>
      <c r="H30" s="14" t="n">
        <v>0.5489901168722264</v>
      </c>
      <c r="I30" s="14" t="n">
        <v>0.5797612610430994</v>
      </c>
      <c r="J30" s="14" t="n">
        <v>0.5755999722081619</v>
      </c>
      <c r="K30" s="14" t="n">
        <v>0.5624183924550914</v>
      </c>
    </row>
    <row r="32">
      <c r="B32" s="9" t="inlineStr">
        <is>
          <t>Trend: EBIT margin</t>
        </is>
      </c>
    </row>
    <row r="33">
      <c r="B33" s="23" t="inlineStr">
        <is>
          <t>Fiscal year</t>
        </is>
      </c>
      <c r="C33" s="24" t="inlineStr">
        <is>
          <t>FY2018</t>
        </is>
      </c>
      <c r="D33" s="24" t="inlineStr">
        <is>
          <t>FY2019</t>
        </is>
      </c>
      <c r="E33" s="24" t="inlineStr">
        <is>
          <t>FY2020</t>
        </is>
      </c>
      <c r="F33" s="24" t="inlineStr">
        <is>
          <t>FY2021</t>
        </is>
      </c>
      <c r="G33" s="24" t="inlineStr">
        <is>
          <t>FY2022</t>
        </is>
      </c>
      <c r="H33" s="24" t="inlineStr">
        <is>
          <t>FY2023</t>
        </is>
      </c>
      <c r="I33" s="24" t="inlineStr">
        <is>
          <t>FY2024</t>
        </is>
      </c>
      <c r="J33" s="24" t="inlineStr">
        <is>
          <t>FY2025</t>
        </is>
      </c>
      <c r="K33" s="24" t="inlineStr">
        <is>
          <t>FY2026</t>
        </is>
      </c>
    </row>
    <row r="34">
      <c r="B34" s="21" t="inlineStr">
        <is>
          <t>NKE</t>
        </is>
      </c>
      <c r="C34" s="14" t="n"/>
      <c r="D34" s="14" t="n">
        <v>0.1219929953728558</v>
      </c>
      <c r="E34" s="14" t="n">
        <v>0.08328208967195144</v>
      </c>
      <c r="F34" s="14" t="n">
        <v>0.1557546364901881</v>
      </c>
      <c r="G34" s="14" t="n">
        <v>0.142903018625562</v>
      </c>
      <c r="H34" s="14" t="n">
        <v>0.1154889977937013</v>
      </c>
      <c r="I34" s="14" t="n">
        <v>0.1228729410848487</v>
      </c>
      <c r="J34" s="14" t="n">
        <v>0.07994126411712627</v>
      </c>
      <c r="K34" s="14" t="n">
        <v>0.0818354239406871</v>
      </c>
    </row>
    <row r="35">
      <c r="B35" s="10" t="inlineStr">
        <is>
          <t>Peer median</t>
        </is>
      </c>
      <c r="C35" s="14" t="n">
        <v>0.09154435635873485</v>
      </c>
      <c r="D35" s="14" t="n">
        <v>0.1228715909661962</v>
      </c>
      <c r="E35" s="14" t="n">
        <v>0.1214774375425075</v>
      </c>
      <c r="F35" s="14" t="n">
        <v>0.1710813299322907</v>
      </c>
      <c r="G35" s="14" t="n">
        <v>0.163788305506504</v>
      </c>
      <c r="H35" s="14" t="n">
        <v>0.1350092011471762</v>
      </c>
      <c r="I35" s="14" t="n">
        <v>0.1483444604522532</v>
      </c>
      <c r="J35" s="14" t="n">
        <v>0.0489720207038323</v>
      </c>
      <c r="K35" s="14" t="n">
        <v>0.06002671259453336</v>
      </c>
    </row>
    <row r="36">
      <c r="B36" s="10" t="inlineStr">
        <is>
          <t>Peer Q1</t>
        </is>
      </c>
      <c r="C36" s="14" t="n">
        <v>0.04217721323541646</v>
      </c>
      <c r="D36" s="14" t="n">
        <v>0.1073877938172772</v>
      </c>
      <c r="E36" s="14" t="n">
        <v>0.06320385713169899</v>
      </c>
      <c r="F36" s="14" t="n">
        <v>0.09874835158834368</v>
      </c>
      <c r="G36" s="14" t="n">
        <v>0.1378336474737034</v>
      </c>
      <c r="H36" s="14" t="n">
        <v>0.08924908622481269</v>
      </c>
      <c r="I36" s="14" t="n">
        <v>0.05031353111813174</v>
      </c>
      <c r="J36" s="14" t="n">
        <v>0.03322092705206738</v>
      </c>
      <c r="K36" s="14" t="n">
        <v>0.01359170426570238</v>
      </c>
    </row>
    <row r="37">
      <c r="B37" s="10" t="inlineStr">
        <is>
          <t>Peer Q3</t>
        </is>
      </c>
      <c r="C37" s="14" t="n">
        <v>0.1475973753464687</v>
      </c>
      <c r="D37" s="14" t="n">
        <v>0.1539581302317992</v>
      </c>
      <c r="E37" s="14" t="n">
        <v>0.1575355215450978</v>
      </c>
      <c r="F37" s="14" t="n">
        <v>0.2093498880470982</v>
      </c>
      <c r="G37" s="14" t="n">
        <v>0.1792527724794062</v>
      </c>
      <c r="H37" s="14" t="n">
        <v>0.2112703380551466</v>
      </c>
      <c r="I37" s="14" t="n">
        <v>0.231567834616907</v>
      </c>
      <c r="J37" s="14" t="n">
        <v>0.1645662259630699</v>
      </c>
      <c r="K37" s="14" t="n">
        <v>0.1454039528585638</v>
      </c>
    </row>
    <row r="39">
      <c r="B39" s="9" t="inlineStr">
        <is>
          <t>Trend: ROIC</t>
        </is>
      </c>
    </row>
    <row r="40">
      <c r="B40" s="23" t="inlineStr">
        <is>
          <t>Fiscal year</t>
        </is>
      </c>
      <c r="C40" s="24" t="inlineStr">
        <is>
          <t>FY2018</t>
        </is>
      </c>
      <c r="D40" s="24" t="inlineStr">
        <is>
          <t>FY2019</t>
        </is>
      </c>
      <c r="E40" s="24" t="inlineStr">
        <is>
          <t>FY2020</t>
        </is>
      </c>
      <c r="F40" s="24" t="inlineStr">
        <is>
          <t>FY2021</t>
        </is>
      </c>
      <c r="G40" s="24" t="inlineStr">
        <is>
          <t>FY2022</t>
        </is>
      </c>
      <c r="H40" s="24" t="inlineStr">
        <is>
          <t>FY2023</t>
        </is>
      </c>
      <c r="I40" s="24" t="inlineStr">
        <is>
          <t>FY2024</t>
        </is>
      </c>
      <c r="J40" s="24" t="inlineStr">
        <is>
          <t>FY2025</t>
        </is>
      </c>
      <c r="K40" s="24" t="inlineStr">
        <is>
          <t>FY2026</t>
        </is>
      </c>
    </row>
    <row r="41">
      <c r="B41" s="21" t="inlineStr">
        <is>
          <t>NKE</t>
        </is>
      </c>
      <c r="C41" s="14" t="n"/>
      <c r="D41" s="14" t="n">
        <v>0.5097585533563739</v>
      </c>
      <c r="E41" s="14" t="n">
        <v>0.326502210767629</v>
      </c>
      <c r="F41" s="14" t="n">
        <v>0.6765696222084842</v>
      </c>
      <c r="G41" s="14" t="n">
        <v>0.5943013584371853</v>
      </c>
      <c r="H41" s="14" t="n">
        <v>0.4034170438782598</v>
      </c>
      <c r="I41" s="14" t="n">
        <v>0.4470677131847735</v>
      </c>
      <c r="J41" s="14" t="n">
        <v>0.2579248626084867</v>
      </c>
      <c r="K41" s="14" t="n">
        <v>0.2344944918689494</v>
      </c>
    </row>
    <row r="42">
      <c r="B42" s="10" t="inlineStr">
        <is>
          <t>Peer median</t>
        </is>
      </c>
      <c r="C42" s="14" t="n">
        <v>0.305239116830175</v>
      </c>
      <c r="D42" s="14" t="n">
        <v>0.3830471694602231</v>
      </c>
      <c r="E42" s="14" t="n">
        <v>0.309339056187028</v>
      </c>
      <c r="F42" s="14" t="n">
        <v>0.5345319443958654</v>
      </c>
      <c r="G42" s="14" t="n">
        <v>0.3565915173331924</v>
      </c>
      <c r="H42" s="14" t="n">
        <v>0.2451433966517507</v>
      </c>
      <c r="I42" s="14" t="n">
        <v>0.2634245094351834</v>
      </c>
      <c r="J42" s="14" t="n">
        <v>0.09848613863307797</v>
      </c>
      <c r="K42" s="14" t="n">
        <v>0.08995453184119279</v>
      </c>
    </row>
    <row r="43">
      <c r="B43" s="10" t="inlineStr">
        <is>
          <t>Peer Q1</t>
        </is>
      </c>
      <c r="C43" s="14" t="n">
        <v>0.2069170453940506</v>
      </c>
      <c r="D43" s="14" t="n">
        <v>0.1885543431527553</v>
      </c>
      <c r="E43" s="14" t="n">
        <v>0.1045038609441724</v>
      </c>
      <c r="F43" s="14" t="n">
        <v>0.3466583720439543</v>
      </c>
      <c r="G43" s="14" t="n">
        <v>0.2370163968186588</v>
      </c>
      <c r="H43" s="14" t="n">
        <v>0.1766069522690046</v>
      </c>
      <c r="I43" s="14" t="n">
        <v>0.1256412438456307</v>
      </c>
      <c r="J43" s="14" t="n">
        <v>0.02586047369628296</v>
      </c>
      <c r="K43" s="14" t="n">
        <v>0.01486787918636079</v>
      </c>
    </row>
    <row r="44">
      <c r="B44" s="10" t="inlineStr">
        <is>
          <t>Peer Q3</t>
        </is>
      </c>
      <c r="C44" s="14" t="n">
        <v>0.4600741495537676</v>
      </c>
      <c r="D44" s="14" t="n">
        <v>0.6294090745898412</v>
      </c>
      <c r="E44" s="14" t="n">
        <v>0.5124278469700441</v>
      </c>
      <c r="F44" s="14" t="n">
        <v>0.7739463779397202</v>
      </c>
      <c r="G44" s="14" t="n">
        <v>0.490560350549864</v>
      </c>
      <c r="H44" s="14" t="n">
        <v>0.528399333590537</v>
      </c>
      <c r="I44" s="14" t="n">
        <v>0.6960711677642001</v>
      </c>
      <c r="J44" s="14" t="n">
        <v>0.4680797360813019</v>
      </c>
      <c r="K44" s="14" t="n">
        <v>0.7939193292111496</v>
      </c>
    </row>
    <row r="46">
      <c r="B46" s="9" t="inlineStr">
        <is>
          <t>Trend: FCF margin</t>
        </is>
      </c>
    </row>
    <row r="47">
      <c r="B47" s="23" t="inlineStr">
        <is>
          <t>Fiscal year</t>
        </is>
      </c>
      <c r="C47" s="24" t="inlineStr">
        <is>
          <t>FY2018</t>
        </is>
      </c>
      <c r="D47" s="24" t="inlineStr">
        <is>
          <t>FY2019</t>
        </is>
      </c>
      <c r="E47" s="24" t="inlineStr">
        <is>
          <t>FY2020</t>
        </is>
      </c>
      <c r="F47" s="24" t="inlineStr">
        <is>
          <t>FY2021</t>
        </is>
      </c>
      <c r="G47" s="24" t="inlineStr">
        <is>
          <t>FY2022</t>
        </is>
      </c>
      <c r="H47" s="24" t="inlineStr">
        <is>
          <t>FY2023</t>
        </is>
      </c>
      <c r="I47" s="24" t="inlineStr">
        <is>
          <t>FY2024</t>
        </is>
      </c>
      <c r="J47" s="24" t="inlineStr">
        <is>
          <t>FY2025</t>
        </is>
      </c>
      <c r="K47" s="24" t="inlineStr">
        <is>
          <t>FY2026</t>
        </is>
      </c>
    </row>
    <row r="48">
      <c r="B48" s="21" t="inlineStr">
        <is>
          <t>NKE</t>
        </is>
      </c>
      <c r="C48" s="14" t="n"/>
      <c r="D48" s="14" t="n">
        <v>0.1222997673645729</v>
      </c>
      <c r="E48" s="14" t="n">
        <v>0.03740341683822154</v>
      </c>
      <c r="F48" s="14" t="n">
        <v>0.1338632179262652</v>
      </c>
      <c r="G48" s="14" t="n">
        <v>0.09484050524512952</v>
      </c>
      <c r="H48" s="14" t="n">
        <v>0.09512466563836226</v>
      </c>
      <c r="I48" s="14" t="n">
        <v>0.1288306530119544</v>
      </c>
      <c r="J48" s="14" t="n">
        <v>0.07056943574683107</v>
      </c>
      <c r="K48" s="14" t="n">
        <v>0.04707099443941549</v>
      </c>
    </row>
    <row r="49">
      <c r="B49" s="10" t="inlineStr">
        <is>
          <t>Peer median</t>
        </is>
      </c>
      <c r="C49" s="14" t="n">
        <v>0.09103158260517982</v>
      </c>
      <c r="D49" s="14" t="n">
        <v>0.08301543498687528</v>
      </c>
      <c r="E49" s="14" t="n">
        <v>0.1089539401892936</v>
      </c>
      <c r="F49" s="14" t="n">
        <v>0.1398040333361764</v>
      </c>
      <c r="G49" s="14" t="n">
        <v>0.04041739380887879</v>
      </c>
      <c r="H49" s="14" t="n">
        <v>0.1463151554868015</v>
      </c>
      <c r="I49" s="14" t="n">
        <v>0.1387849472964542</v>
      </c>
      <c r="J49" s="14" t="n">
        <v>0.07340510997546049</v>
      </c>
      <c r="K49" s="14" t="n">
        <v>0.05794430041955369</v>
      </c>
    </row>
    <row r="50">
      <c r="B50" s="10" t="inlineStr">
        <is>
          <t>Peer Q1</t>
        </is>
      </c>
      <c r="C50" s="14" t="n">
        <v>0.08610066578805226</v>
      </c>
      <c r="D50" s="14" t="n">
        <v>0.05715913638320094</v>
      </c>
      <c r="E50" s="14" t="n">
        <v>0.06664351833286082</v>
      </c>
      <c r="F50" s="14" t="n">
        <v>0.108627521823323</v>
      </c>
      <c r="G50" s="14" t="n">
        <v>0.03851522010805821</v>
      </c>
      <c r="H50" s="14" t="n">
        <v>0.006305920080509758</v>
      </c>
      <c r="I50" s="14" t="n">
        <v>0.09847627149110295</v>
      </c>
      <c r="J50" s="14" t="n">
        <v>0.04585225694519113</v>
      </c>
      <c r="K50" s="14" t="n">
        <v>0.01264604079787238</v>
      </c>
    </row>
    <row r="51">
      <c r="B51" s="10" t="inlineStr">
        <is>
          <t>Peer Q3</t>
        </is>
      </c>
      <c r="C51" s="14" t="n">
        <v>0.109729047940153</v>
      </c>
      <c r="D51" s="14" t="n">
        <v>0.1300769620601631</v>
      </c>
      <c r="E51" s="14" t="n">
        <v>0.1275783203006951</v>
      </c>
      <c r="F51" s="14" t="n">
        <v>0.2054869977899586</v>
      </c>
      <c r="G51" s="14" t="n">
        <v>0.05225868615012532</v>
      </c>
      <c r="H51" s="14" t="n">
        <v>0.1699051701614175</v>
      </c>
      <c r="I51" s="14" t="n">
        <v>0.2024775385225261</v>
      </c>
      <c r="J51" s="14" t="n">
        <v>0.1431102271351169</v>
      </c>
      <c r="K51" s="14" t="n">
        <v>0.1292346360109835</v>
      </c>
    </row>
    <row r="53">
      <c r="B53" s="9" t="inlineStr">
        <is>
          <t>Trend: Net debt / EBITDA</t>
        </is>
      </c>
    </row>
    <row r="54">
      <c r="B54" s="23" t="inlineStr">
        <is>
          <t>Fiscal year</t>
        </is>
      </c>
      <c r="C54" s="24" t="inlineStr">
        <is>
          <t>FY2018</t>
        </is>
      </c>
      <c r="D54" s="24" t="inlineStr">
        <is>
          <t>FY2019</t>
        </is>
      </c>
      <c r="E54" s="24" t="inlineStr">
        <is>
          <t>FY2020</t>
        </is>
      </c>
      <c r="F54" s="24" t="inlineStr">
        <is>
          <t>FY2021</t>
        </is>
      </c>
      <c r="G54" s="24" t="inlineStr">
        <is>
          <t>FY2022</t>
        </is>
      </c>
      <c r="H54" s="24" t="inlineStr">
        <is>
          <t>FY2023</t>
        </is>
      </c>
      <c r="I54" s="24" t="inlineStr">
        <is>
          <t>FY2024</t>
        </is>
      </c>
      <c r="J54" s="24" t="inlineStr">
        <is>
          <t>FY2025</t>
        </is>
      </c>
    </row>
    <row r="55">
      <c r="B55" s="21" t="inlineStr">
        <is>
          <t>NKE</t>
        </is>
      </c>
      <c r="C55" s="41" t="n"/>
      <c r="D55" s="41" t="n">
        <v>-0.2161767390907431</v>
      </c>
      <c r="E55" s="41" t="n">
        <v>0.2267987486965589</v>
      </c>
      <c r="F55" s="41" t="n">
        <v>-0.5287071995833876</v>
      </c>
      <c r="G55" s="41" t="n">
        <v>-0.4825487012987013</v>
      </c>
      <c r="H55" s="41" t="n">
        <v>-0.2632215170746449</v>
      </c>
      <c r="I55" s="41" t="n">
        <v>-0.3761080624736176</v>
      </c>
      <c r="J55" s="41" t="n">
        <v>-0.2646861737770829</v>
      </c>
    </row>
    <row r="56">
      <c r="B56" s="10" t="inlineStr">
        <is>
          <t>Peer median</t>
        </is>
      </c>
      <c r="C56" s="41" t="n">
        <v>-0.5502528740813273</v>
      </c>
      <c r="D56" s="41" t="n">
        <v>-0.7424048284566149</v>
      </c>
      <c r="E56" s="41" t="n">
        <v>-1.14426473747444</v>
      </c>
      <c r="F56" s="41" t="n">
        <v>-1.220944884256713</v>
      </c>
      <c r="G56" s="41" t="n">
        <v>-0.7127933050199389</v>
      </c>
      <c r="H56" s="41" t="n">
        <v>-0.4923127476823637</v>
      </c>
      <c r="I56" s="41" t="n">
        <v>-0.5816819605431711</v>
      </c>
      <c r="J56" s="41" t="n">
        <v>-0.6676419725857762</v>
      </c>
    </row>
    <row r="57">
      <c r="B57" s="10" t="inlineStr">
        <is>
          <t>Peer Q1</t>
        </is>
      </c>
      <c r="C57" s="41" t="n">
        <v>-1.234557642279074</v>
      </c>
      <c r="D57" s="41" t="n">
        <v>-1.394314012276213</v>
      </c>
      <c r="E57" s="41" t="n">
        <v>-1.720735080772424</v>
      </c>
      <c r="F57" s="41" t="n">
        <v>-1.733051083638357</v>
      </c>
      <c r="G57" s="41" t="n">
        <v>-0.9622802865206673</v>
      </c>
      <c r="H57" s="41" t="n">
        <v>-1.274328641857303</v>
      </c>
      <c r="I57" s="41" t="n">
        <v>-1.311613950158718</v>
      </c>
      <c r="J57" s="41" t="n">
        <v>-1.51323286167993</v>
      </c>
    </row>
    <row r="58">
      <c r="B58" s="10" t="inlineStr">
        <is>
          <t>Peer Q3</t>
        </is>
      </c>
      <c r="C58" s="41" t="n">
        <v>0.2578499934229742</v>
      </c>
      <c r="D58" s="41" t="n">
        <v>0.3635756942058572</v>
      </c>
      <c r="E58" s="41" t="n">
        <v>0.1828305266336564</v>
      </c>
      <c r="F58" s="41" t="n">
        <v>0.3975412388527754</v>
      </c>
      <c r="G58" s="41" t="n">
        <v>2.172848854138639</v>
      </c>
      <c r="H58" s="41" t="n">
        <v>1.049977973246717</v>
      </c>
      <c r="I58" s="41" t="n">
        <v>0.7080968903641853</v>
      </c>
      <c r="J58" s="41" t="n">
        <v>4.946070097072951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5B8"/>
    <outlinePr summaryBelow="1" summaryRight="1"/>
    <pageSetUpPr/>
  </sheetPr>
  <dimension ref="B1:I26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8" customWidth="1" min="3" max="3"/>
    <col width="13" customWidth="1" min="4" max="4"/>
    <col width="16" customWidth="1" min="5" max="5"/>
    <col width="60" customWidth="1" min="6" max="6"/>
    <col width="9" customWidth="1" min="7" max="7"/>
    <col width="24" customWidth="1" min="8" max="8"/>
    <col width="12" customWidth="1" min="9" max="9"/>
  </cols>
  <sheetData>
    <row r="1">
      <c r="B1" s="12" t="inlineStr">
        <is>
          <t>Data provenance</t>
        </is>
      </c>
    </row>
    <row r="2">
      <c r="B2" s="3" t="inlineStr">
        <is>
          <t>Every historical value: the XBRL tag it came from and the SEC filing (click to open).</t>
        </is>
      </c>
    </row>
    <row r="4">
      <c r="B4" s="23" t="inlineStr">
        <is>
          <t>Line item</t>
        </is>
      </c>
      <c r="C4" s="24" t="inlineStr">
        <is>
          <t>FY</t>
        </is>
      </c>
      <c r="D4" s="24" t="inlineStr">
        <is>
          <t>Period end</t>
        </is>
      </c>
      <c r="E4" s="24" t="inlineStr">
        <is>
          <t>Value ($m)</t>
        </is>
      </c>
      <c r="F4" s="24" t="inlineStr">
        <is>
          <t>XBRL tag</t>
        </is>
      </c>
      <c r="G4" s="24" t="inlineStr">
        <is>
          <t>Form</t>
        </is>
      </c>
      <c r="H4" s="24" t="inlineStr">
        <is>
          <t>Accession</t>
        </is>
      </c>
      <c r="I4" s="24" t="inlineStr">
        <is>
          <t>Filed</t>
        </is>
      </c>
    </row>
    <row r="5">
      <c r="B5" s="10" t="inlineStr">
        <is>
          <t>Share repurchases</t>
        </is>
      </c>
      <c r="C5" s="17" t="n">
        <v>2019</v>
      </c>
      <c r="D5" s="10" t="inlineStr">
        <is>
          <t>2019-05-31</t>
        </is>
      </c>
      <c r="E5" s="63" t="n">
        <v>4286</v>
      </c>
      <c r="F5" s="10" t="inlineStr">
        <is>
          <t>PaymentsForRepurchaseOfCommonStock</t>
        </is>
      </c>
      <c r="G5" s="10" t="inlineStr">
        <is>
          <t>10-K</t>
        </is>
      </c>
      <c r="H5" s="64" t="inlineStr">
        <is>
          <t>0000320187-21-000028</t>
        </is>
      </c>
      <c r="I5" s="10" t="inlineStr">
        <is>
          <t>2021-07-20</t>
        </is>
      </c>
    </row>
    <row r="6">
      <c r="B6" s="10" t="inlineStr">
        <is>
          <t>Share repurchases</t>
        </is>
      </c>
      <c r="C6" s="17" t="n">
        <v>2020</v>
      </c>
      <c r="D6" s="10" t="inlineStr">
        <is>
          <t>2020-05-31</t>
        </is>
      </c>
      <c r="E6" s="63" t="n">
        <v>3067</v>
      </c>
      <c r="F6" s="10" t="inlineStr">
        <is>
          <t>PaymentsForRepurchaseOfCommonStock</t>
        </is>
      </c>
      <c r="G6" s="10" t="inlineStr">
        <is>
          <t>10-K</t>
        </is>
      </c>
      <c r="H6" s="64" t="inlineStr">
        <is>
          <t>0000320187-22-000038</t>
        </is>
      </c>
      <c r="I6" s="10" t="inlineStr">
        <is>
          <t>2022-07-21</t>
        </is>
      </c>
    </row>
    <row r="7">
      <c r="B7" s="10" t="inlineStr">
        <is>
          <t>Share repurchases</t>
        </is>
      </c>
      <c r="C7" s="17" t="n">
        <v>2021</v>
      </c>
      <c r="D7" s="10" t="inlineStr">
        <is>
          <t>2021-05-31</t>
        </is>
      </c>
      <c r="E7" s="63" t="n">
        <v>608</v>
      </c>
      <c r="F7" s="10" t="inlineStr">
        <is>
          <t>PaymentsForRepurchaseOfCommonStock</t>
        </is>
      </c>
      <c r="G7" s="10" t="inlineStr">
        <is>
          <t>10-K</t>
        </is>
      </c>
      <c r="H7" s="64" t="inlineStr">
        <is>
          <t>0000320187-23-000039</t>
        </is>
      </c>
      <c r="I7" s="10" t="inlineStr">
        <is>
          <t>2023-07-20</t>
        </is>
      </c>
    </row>
    <row r="8">
      <c r="B8" s="10" t="inlineStr">
        <is>
          <t>Share repurchases</t>
        </is>
      </c>
      <c r="C8" s="17" t="n">
        <v>2022</v>
      </c>
      <c r="D8" s="10" t="inlineStr">
        <is>
          <t>2022-05-31</t>
        </is>
      </c>
      <c r="E8" s="63" t="n">
        <v>4014</v>
      </c>
      <c r="F8" s="10" t="inlineStr">
        <is>
          <t>PaymentsForRepurchaseOfCommonStock</t>
        </is>
      </c>
      <c r="G8" s="10" t="inlineStr">
        <is>
          <t>10-K</t>
        </is>
      </c>
      <c r="H8" s="64" t="inlineStr">
        <is>
          <t>0000320187-24-000044</t>
        </is>
      </c>
      <c r="I8" s="10" t="inlineStr">
        <is>
          <t>2024-07-25</t>
        </is>
      </c>
    </row>
    <row r="9">
      <c r="B9" s="10" t="inlineStr">
        <is>
          <t>Share repurchases</t>
        </is>
      </c>
      <c r="C9" s="17" t="n">
        <v>2023</v>
      </c>
      <c r="D9" s="10" t="inlineStr">
        <is>
          <t>2023-05-31</t>
        </is>
      </c>
      <c r="E9" s="63" t="n">
        <v>5480</v>
      </c>
      <c r="F9" s="10" t="inlineStr">
        <is>
          <t>PaymentsForRepurchaseOfCommonStock</t>
        </is>
      </c>
      <c r="G9" s="10" t="inlineStr">
        <is>
          <t>10-K</t>
        </is>
      </c>
      <c r="H9" s="64" t="inlineStr">
        <is>
          <t>0000320187-25-000047</t>
        </is>
      </c>
      <c r="I9" s="10" t="inlineStr">
        <is>
          <t>2025-07-17</t>
        </is>
      </c>
    </row>
    <row r="10">
      <c r="B10" s="10" t="inlineStr">
        <is>
          <t>Share repurchases</t>
        </is>
      </c>
      <c r="C10" s="17" t="n">
        <v>2024</v>
      </c>
      <c r="D10" s="10" t="inlineStr">
        <is>
          <t>2024-05-31</t>
        </is>
      </c>
      <c r="E10" s="63" t="n">
        <v>4250</v>
      </c>
      <c r="F10" s="10" t="inlineStr">
        <is>
          <t>PaymentsForRepurchaseOfCommonStock</t>
        </is>
      </c>
      <c r="G10" s="10" t="inlineStr">
        <is>
          <t>10-K</t>
        </is>
      </c>
      <c r="H10" s="64" t="inlineStr">
        <is>
          <t>0000320187-26-000088</t>
        </is>
      </c>
      <c r="I10" s="10" t="inlineStr">
        <is>
          <t>2026-07-15</t>
        </is>
      </c>
    </row>
    <row r="11">
      <c r="B11" s="10" t="inlineStr">
        <is>
          <t>Share repurchases</t>
        </is>
      </c>
      <c r="C11" s="17" t="n">
        <v>2025</v>
      </c>
      <c r="D11" s="10" t="inlineStr">
        <is>
          <t>2025-05-31</t>
        </is>
      </c>
      <c r="E11" s="63" t="n">
        <v>2985</v>
      </c>
      <c r="F11" s="10" t="inlineStr">
        <is>
          <t>PaymentsForRepurchaseOfCommonStock</t>
        </is>
      </c>
      <c r="G11" s="10" t="inlineStr">
        <is>
          <t>10-K</t>
        </is>
      </c>
      <c r="H11" s="64" t="inlineStr">
        <is>
          <t>0000320187-26-000088</t>
        </is>
      </c>
      <c r="I11" s="10" t="inlineStr">
        <is>
          <t>2026-07-15</t>
        </is>
      </c>
    </row>
    <row r="12">
      <c r="B12" s="10" t="inlineStr">
        <is>
          <t>Share repurchases</t>
        </is>
      </c>
      <c r="C12" s="17" t="n">
        <v>2026</v>
      </c>
      <c r="D12" s="10" t="inlineStr">
        <is>
          <t>2026-05-31</t>
        </is>
      </c>
      <c r="E12" s="63" t="n">
        <v>146</v>
      </c>
      <c r="F12" s="10" t="inlineStr">
        <is>
          <t>PaymentsForRepurchaseOfCommonStock</t>
        </is>
      </c>
      <c r="G12" s="10" t="inlineStr">
        <is>
          <t>10-K</t>
        </is>
      </c>
      <c r="H12" s="64" t="inlineStr">
        <is>
          <t>0000320187-26-000088</t>
        </is>
      </c>
      <c r="I12" s="10" t="inlineStr">
        <is>
          <t>2026-07-15</t>
        </is>
      </c>
    </row>
    <row r="13">
      <c r="B13" s="10" t="inlineStr">
        <is>
          <t>Capital expenditure</t>
        </is>
      </c>
      <c r="C13" s="17" t="n">
        <v>2019</v>
      </c>
      <c r="D13" s="10" t="inlineStr">
        <is>
          <t>2019-05-31</t>
        </is>
      </c>
      <c r="E13" s="63" t="n">
        <v>1119</v>
      </c>
      <c r="F13" s="10" t="inlineStr">
        <is>
          <t>PaymentsToAcquirePropertyPlantAndEquipment</t>
        </is>
      </c>
      <c r="G13" s="10" t="inlineStr">
        <is>
          <t>10-K</t>
        </is>
      </c>
      <c r="H13" s="64" t="inlineStr">
        <is>
          <t>0000320187-21-000028</t>
        </is>
      </c>
      <c r="I13" s="10" t="inlineStr">
        <is>
          <t>2021-07-20</t>
        </is>
      </c>
    </row>
    <row r="14">
      <c r="B14" s="10" t="inlineStr">
        <is>
          <t>Capital expenditure</t>
        </is>
      </c>
      <c r="C14" s="17" t="n">
        <v>2020</v>
      </c>
      <c r="D14" s="10" t="inlineStr">
        <is>
          <t>2020-05-31</t>
        </is>
      </c>
      <c r="E14" s="63" t="n">
        <v>1086</v>
      </c>
      <c r="F14" s="10" t="inlineStr">
        <is>
          <t>PaymentsToAcquirePropertyPlantAndEquipment</t>
        </is>
      </c>
      <c r="G14" s="10" t="inlineStr">
        <is>
          <t>10-K</t>
        </is>
      </c>
      <c r="H14" s="64" t="inlineStr">
        <is>
          <t>0000320187-22-000038</t>
        </is>
      </c>
      <c r="I14" s="10" t="inlineStr">
        <is>
          <t>2022-07-21</t>
        </is>
      </c>
    </row>
    <row r="15">
      <c r="B15" s="10" t="inlineStr">
        <is>
          <t>Capital expenditure</t>
        </is>
      </c>
      <c r="C15" s="17" t="n">
        <v>2021</v>
      </c>
      <c r="D15" s="10" t="inlineStr">
        <is>
          <t>2021-05-31</t>
        </is>
      </c>
      <c r="E15" s="63" t="n">
        <v>695</v>
      </c>
      <c r="F15" s="10" t="inlineStr">
        <is>
          <t>PaymentsToAcquirePropertyPlantAndEquipment</t>
        </is>
      </c>
      <c r="G15" s="10" t="inlineStr">
        <is>
          <t>10-K</t>
        </is>
      </c>
      <c r="H15" s="64" t="inlineStr">
        <is>
          <t>0000320187-23-000039</t>
        </is>
      </c>
      <c r="I15" s="10" t="inlineStr">
        <is>
          <t>2023-07-20</t>
        </is>
      </c>
    </row>
    <row r="16">
      <c r="B16" s="10" t="inlineStr">
        <is>
          <t>Capital expenditure</t>
        </is>
      </c>
      <c r="C16" s="17" t="n">
        <v>2022</v>
      </c>
      <c r="D16" s="10" t="inlineStr">
        <is>
          <t>2022-05-31</t>
        </is>
      </c>
      <c r="E16" s="63" t="n">
        <v>758</v>
      </c>
      <c r="F16" s="10" t="inlineStr">
        <is>
          <t>PaymentsToAcquirePropertyPlantAndEquipment</t>
        </is>
      </c>
      <c r="G16" s="10" t="inlineStr">
        <is>
          <t>10-K</t>
        </is>
      </c>
      <c r="H16" s="64" t="inlineStr">
        <is>
          <t>0000320187-24-000044</t>
        </is>
      </c>
      <c r="I16" s="10" t="inlineStr">
        <is>
          <t>2024-07-25</t>
        </is>
      </c>
    </row>
    <row r="17">
      <c r="B17" s="10" t="inlineStr">
        <is>
          <t>Capital expenditure</t>
        </is>
      </c>
      <c r="C17" s="17" t="n">
        <v>2023</v>
      </c>
      <c r="D17" s="10" t="inlineStr">
        <is>
          <t>2023-05-31</t>
        </is>
      </c>
      <c r="E17" s="63" t="n">
        <v>969</v>
      </c>
      <c r="F17" s="10" t="inlineStr">
        <is>
          <t>PaymentsToAcquirePropertyPlantAndEquipment</t>
        </is>
      </c>
      <c r="G17" s="10" t="inlineStr">
        <is>
          <t>10-K</t>
        </is>
      </c>
      <c r="H17" s="64" t="inlineStr">
        <is>
          <t>0000320187-25-000047</t>
        </is>
      </c>
      <c r="I17" s="10" t="inlineStr">
        <is>
          <t>2025-07-17</t>
        </is>
      </c>
    </row>
    <row r="18">
      <c r="B18" s="10" t="inlineStr">
        <is>
          <t>Capital expenditure</t>
        </is>
      </c>
      <c r="C18" s="17" t="n">
        <v>2024</v>
      </c>
      <c r="D18" s="10" t="inlineStr">
        <is>
          <t>2024-05-31</t>
        </is>
      </c>
      <c r="E18" s="63" t="n">
        <v>812</v>
      </c>
      <c r="F18" s="10" t="inlineStr">
        <is>
          <t>PaymentsToAcquirePropertyPlantAndEquipment</t>
        </is>
      </c>
      <c r="G18" s="10" t="inlineStr">
        <is>
          <t>10-K</t>
        </is>
      </c>
      <c r="H18" s="64" t="inlineStr">
        <is>
          <t>0000320187-26-000088</t>
        </is>
      </c>
      <c r="I18" s="10" t="inlineStr">
        <is>
          <t>2026-07-15</t>
        </is>
      </c>
    </row>
    <row r="19">
      <c r="B19" s="10" t="inlineStr">
        <is>
          <t>Capital expenditure</t>
        </is>
      </c>
      <c r="C19" s="17" t="n">
        <v>2025</v>
      </c>
      <c r="D19" s="10" t="inlineStr">
        <is>
          <t>2025-05-31</t>
        </is>
      </c>
      <c r="E19" s="63" t="n">
        <v>430</v>
      </c>
      <c r="F19" s="10" t="inlineStr">
        <is>
          <t>PaymentsToAcquirePropertyPlantAndEquipment</t>
        </is>
      </c>
      <c r="G19" s="10" t="inlineStr">
        <is>
          <t>10-K</t>
        </is>
      </c>
      <c r="H19" s="64" t="inlineStr">
        <is>
          <t>0000320187-26-000088</t>
        </is>
      </c>
      <c r="I19" s="10" t="inlineStr">
        <is>
          <t>2026-07-15</t>
        </is>
      </c>
    </row>
    <row r="20">
      <c r="B20" s="10" t="inlineStr">
        <is>
          <t>Capital expenditure</t>
        </is>
      </c>
      <c r="C20" s="17" t="n">
        <v>2026</v>
      </c>
      <c r="D20" s="10" t="inlineStr">
        <is>
          <t>2026-05-31</t>
        </is>
      </c>
      <c r="E20" s="63" t="n">
        <v>684</v>
      </c>
      <c r="F20" s="10" t="inlineStr">
        <is>
          <t>PaymentsToAcquirePropertyPlantAndEquipment</t>
        </is>
      </c>
      <c r="G20" s="10" t="inlineStr">
        <is>
          <t>10-K</t>
        </is>
      </c>
      <c r="H20" s="64" t="inlineStr">
        <is>
          <t>0000320187-26-000088</t>
        </is>
      </c>
      <c r="I20" s="10" t="inlineStr">
        <is>
          <t>2026-07-15</t>
        </is>
      </c>
    </row>
    <row r="21">
      <c r="B21" s="10" t="inlineStr">
        <is>
          <t>Cash &amp; equivalents</t>
        </is>
      </c>
      <c r="C21" s="17" t="n">
        <v>2019</v>
      </c>
      <c r="D21" s="10" t="inlineStr">
        <is>
          <t>2019-05-31</t>
        </is>
      </c>
      <c r="E21" s="63" t="n">
        <v>4466</v>
      </c>
      <c r="F21" s="10" t="inlineStr">
        <is>
          <t>CashAndCashEquivalentsAtCarryingValue</t>
        </is>
      </c>
      <c r="G21" s="10" t="inlineStr">
        <is>
          <t>10-K</t>
        </is>
      </c>
      <c r="H21" s="64" t="inlineStr">
        <is>
          <t>0000320187-20-000047</t>
        </is>
      </c>
      <c r="I21" s="10" t="inlineStr">
        <is>
          <t>2020-07-24</t>
        </is>
      </c>
    </row>
    <row r="22">
      <c r="B22" s="10" t="inlineStr">
        <is>
          <t>Cash &amp; equivalents</t>
        </is>
      </c>
      <c r="C22" s="17" t="n">
        <v>2020</v>
      </c>
      <c r="D22" s="10" t="inlineStr">
        <is>
          <t>2020-05-31</t>
        </is>
      </c>
      <c r="E22" s="63" t="n">
        <v>8348</v>
      </c>
      <c r="F22" s="10" t="inlineStr">
        <is>
          <t>CashAndCashEquivalentsAtCarryingValue</t>
        </is>
      </c>
      <c r="G22" s="10" t="inlineStr">
        <is>
          <t>10-K</t>
        </is>
      </c>
      <c r="H22" s="64" t="inlineStr">
        <is>
          <t>0000320187-21-000028</t>
        </is>
      </c>
      <c r="I22" s="10" t="inlineStr">
        <is>
          <t>2021-07-20</t>
        </is>
      </c>
    </row>
    <row r="23">
      <c r="B23" s="10" t="inlineStr">
        <is>
          <t>Cash &amp; equivalents</t>
        </is>
      </c>
      <c r="C23" s="17" t="n">
        <v>2021</v>
      </c>
      <c r="D23" s="10" t="inlineStr">
        <is>
          <t>2021-05-31</t>
        </is>
      </c>
      <c r="E23" s="63" t="n">
        <v>9889</v>
      </c>
      <c r="F23" s="10" t="inlineStr">
        <is>
          <t>CashAndCashEquivalentsAtCarryingValue</t>
        </is>
      </c>
      <c r="G23" s="10" t="inlineStr">
        <is>
          <t>10-K</t>
        </is>
      </c>
      <c r="H23" s="64" t="inlineStr">
        <is>
          <t>0000320187-22-000038</t>
        </is>
      </c>
      <c r="I23" s="10" t="inlineStr">
        <is>
          <t>2022-07-21</t>
        </is>
      </c>
    </row>
    <row r="24">
      <c r="B24" s="10" t="inlineStr">
        <is>
          <t>Cash &amp; equivalents</t>
        </is>
      </c>
      <c r="C24" s="17" t="n">
        <v>2022</v>
      </c>
      <c r="D24" s="10" t="inlineStr">
        <is>
          <t>2022-05-31</t>
        </is>
      </c>
      <c r="E24" s="63" t="n">
        <v>8574</v>
      </c>
      <c r="F24" s="10" t="inlineStr">
        <is>
          <t>CashAndCashEquivalentsAtCarryingValue</t>
        </is>
      </c>
      <c r="G24" s="10" t="inlineStr">
        <is>
          <t>10-K</t>
        </is>
      </c>
      <c r="H24" s="64" t="inlineStr">
        <is>
          <t>0000320187-23-000039</t>
        </is>
      </c>
      <c r="I24" s="10" t="inlineStr">
        <is>
          <t>2023-07-20</t>
        </is>
      </c>
    </row>
    <row r="25">
      <c r="B25" s="10" t="inlineStr">
        <is>
          <t>Cash &amp; equivalents</t>
        </is>
      </c>
      <c r="C25" s="17" t="n">
        <v>2023</v>
      </c>
      <c r="D25" s="10" t="inlineStr">
        <is>
          <t>2023-05-31</t>
        </is>
      </c>
      <c r="E25" s="63" t="n">
        <v>7441</v>
      </c>
      <c r="F25" s="10" t="inlineStr">
        <is>
          <t>CashAndCashEquivalentsAtCarryingValue</t>
        </is>
      </c>
      <c r="G25" s="10" t="inlineStr">
        <is>
          <t>10-K</t>
        </is>
      </c>
      <c r="H25" s="64" t="inlineStr">
        <is>
          <t>0000320187-24-000044</t>
        </is>
      </c>
      <c r="I25" s="10" t="inlineStr">
        <is>
          <t>2024-07-25</t>
        </is>
      </c>
    </row>
    <row r="26">
      <c r="B26" s="10" t="inlineStr">
        <is>
          <t>Cash &amp; equivalents</t>
        </is>
      </c>
      <c r="C26" s="17" t="n">
        <v>2024</v>
      </c>
      <c r="D26" s="10" t="inlineStr">
        <is>
          <t>2024-05-31</t>
        </is>
      </c>
      <c r="E26" s="63" t="n">
        <v>9860</v>
      </c>
      <c r="F26" s="10" t="inlineStr">
        <is>
          <t>CashAndCashEquivalentsAtCarryingValue</t>
        </is>
      </c>
      <c r="G26" s="10" t="inlineStr">
        <is>
          <t>10-K</t>
        </is>
      </c>
      <c r="H26" s="64" t="inlineStr">
        <is>
          <t>0000320187-25-000047</t>
        </is>
      </c>
      <c r="I26" s="10" t="inlineStr">
        <is>
          <t>2025-07-17</t>
        </is>
      </c>
    </row>
    <row r="27">
      <c r="B27" s="10" t="inlineStr">
        <is>
          <t>Cash &amp; equivalents</t>
        </is>
      </c>
      <c r="C27" s="17" t="n">
        <v>2025</v>
      </c>
      <c r="D27" s="10" t="inlineStr">
        <is>
          <t>2025-05-31</t>
        </is>
      </c>
      <c r="E27" s="63" t="n">
        <v>7464</v>
      </c>
      <c r="F27" s="10" t="inlineStr">
        <is>
          <t>CashAndCashEquivalentsAtCarryingValue</t>
        </is>
      </c>
      <c r="G27" s="10" t="inlineStr">
        <is>
          <t>10-K</t>
        </is>
      </c>
      <c r="H27" s="64" t="inlineStr">
        <is>
          <t>0000320187-26-000088</t>
        </is>
      </c>
      <c r="I27" s="10" t="inlineStr">
        <is>
          <t>2026-07-15</t>
        </is>
      </c>
    </row>
    <row r="28">
      <c r="B28" s="10" t="inlineStr">
        <is>
          <t>Cash &amp; equivalents</t>
        </is>
      </c>
      <c r="C28" s="17" t="n">
        <v>2026</v>
      </c>
      <c r="D28" s="10" t="inlineStr">
        <is>
          <t>2026-05-31</t>
        </is>
      </c>
      <c r="E28" s="63" t="n">
        <v>7563</v>
      </c>
      <c r="F28" s="10" t="inlineStr">
        <is>
          <t>CashAndCashEquivalentsAtCarryingValue</t>
        </is>
      </c>
      <c r="G28" s="10" t="inlineStr">
        <is>
          <t>10-K</t>
        </is>
      </c>
      <c r="H28" s="64" t="inlineStr">
        <is>
          <t>0000320187-26-000088</t>
        </is>
      </c>
      <c r="I28" s="10" t="inlineStr">
        <is>
          <t>2026-07-15</t>
        </is>
      </c>
    </row>
    <row r="29">
      <c r="B29" s="10" t="inlineStr">
        <is>
          <t>Cash from operations</t>
        </is>
      </c>
      <c r="C29" s="17" t="n">
        <v>2019</v>
      </c>
      <c r="D29" s="10" t="inlineStr">
        <is>
          <t>2019-05-31</t>
        </is>
      </c>
      <c r="E29" s="63" t="n">
        <v>5903</v>
      </c>
      <c r="F29" s="10" t="inlineStr">
        <is>
          <t>NetCashProvidedByUsedInOperatingActivities</t>
        </is>
      </c>
      <c r="G29" s="10" t="inlineStr">
        <is>
          <t>10-K</t>
        </is>
      </c>
      <c r="H29" s="64" t="inlineStr">
        <is>
          <t>0000320187-21-000028</t>
        </is>
      </c>
      <c r="I29" s="10" t="inlineStr">
        <is>
          <t>2021-07-20</t>
        </is>
      </c>
    </row>
    <row r="30">
      <c r="B30" s="10" t="inlineStr">
        <is>
          <t>Cash from operations</t>
        </is>
      </c>
      <c r="C30" s="17" t="n">
        <v>2020</v>
      </c>
      <c r="D30" s="10" t="inlineStr">
        <is>
          <t>2020-05-31</t>
        </is>
      </c>
      <c r="E30" s="63" t="n">
        <v>2485</v>
      </c>
      <c r="F30" s="10" t="inlineStr">
        <is>
          <t>NetCashProvidedByUsedInOperatingActivities</t>
        </is>
      </c>
      <c r="G30" s="10" t="inlineStr">
        <is>
          <t>10-K</t>
        </is>
      </c>
      <c r="H30" s="64" t="inlineStr">
        <is>
          <t>0000320187-22-000038</t>
        </is>
      </c>
      <c r="I30" s="10" t="inlineStr">
        <is>
          <t>2022-07-21</t>
        </is>
      </c>
    </row>
    <row r="31">
      <c r="B31" s="10" t="inlineStr">
        <is>
          <t>Cash from operations</t>
        </is>
      </c>
      <c r="C31" s="17" t="n">
        <v>2021</v>
      </c>
      <c r="D31" s="10" t="inlineStr">
        <is>
          <t>2021-05-31</t>
        </is>
      </c>
      <c r="E31" s="63" t="n">
        <v>6657</v>
      </c>
      <c r="F31" s="10" t="inlineStr">
        <is>
          <t>NetCashProvidedByUsedInOperatingActivities</t>
        </is>
      </c>
      <c r="G31" s="10" t="inlineStr">
        <is>
          <t>10-K</t>
        </is>
      </c>
      <c r="H31" s="64" t="inlineStr">
        <is>
          <t>0000320187-23-000039</t>
        </is>
      </c>
      <c r="I31" s="10" t="inlineStr">
        <is>
          <t>2023-07-20</t>
        </is>
      </c>
    </row>
    <row r="32">
      <c r="B32" s="10" t="inlineStr">
        <is>
          <t>Cash from operations</t>
        </is>
      </c>
      <c r="C32" s="17" t="n">
        <v>2022</v>
      </c>
      <c r="D32" s="10" t="inlineStr">
        <is>
          <t>2022-05-31</t>
        </is>
      </c>
      <c r="E32" s="63" t="n">
        <v>5188</v>
      </c>
      <c r="F32" s="10" t="inlineStr">
        <is>
          <t>NetCashProvidedByUsedInOperatingActivities</t>
        </is>
      </c>
      <c r="G32" s="10" t="inlineStr">
        <is>
          <t>10-K</t>
        </is>
      </c>
      <c r="H32" s="64" t="inlineStr">
        <is>
          <t>0000320187-24-000044</t>
        </is>
      </c>
      <c r="I32" s="10" t="inlineStr">
        <is>
          <t>2024-07-25</t>
        </is>
      </c>
    </row>
    <row r="33">
      <c r="B33" s="10" t="inlineStr">
        <is>
          <t>Cash from operations</t>
        </is>
      </c>
      <c r="C33" s="17" t="n">
        <v>2023</v>
      </c>
      <c r="D33" s="10" t="inlineStr">
        <is>
          <t>2023-05-31</t>
        </is>
      </c>
      <c r="E33" s="63" t="n">
        <v>5841</v>
      </c>
      <c r="F33" s="10" t="inlineStr">
        <is>
          <t>NetCashProvidedByUsedInOperatingActivities</t>
        </is>
      </c>
      <c r="G33" s="10" t="inlineStr">
        <is>
          <t>10-K</t>
        </is>
      </c>
      <c r="H33" s="64" t="inlineStr">
        <is>
          <t>0000320187-25-000047</t>
        </is>
      </c>
      <c r="I33" s="10" t="inlineStr">
        <is>
          <t>2025-07-17</t>
        </is>
      </c>
    </row>
    <row r="34">
      <c r="B34" s="10" t="inlineStr">
        <is>
          <t>Cash from operations</t>
        </is>
      </c>
      <c r="C34" s="17" t="n">
        <v>2024</v>
      </c>
      <c r="D34" s="10" t="inlineStr">
        <is>
          <t>2024-05-31</t>
        </is>
      </c>
      <c r="E34" s="63" t="n">
        <v>7429</v>
      </c>
      <c r="F34" s="10" t="inlineStr">
        <is>
          <t>NetCashProvidedByUsedInOperatingActivities</t>
        </is>
      </c>
      <c r="G34" s="10" t="inlineStr">
        <is>
          <t>10-K</t>
        </is>
      </c>
      <c r="H34" s="64" t="inlineStr">
        <is>
          <t>0000320187-26-000088</t>
        </is>
      </c>
      <c r="I34" s="10" t="inlineStr">
        <is>
          <t>2026-07-15</t>
        </is>
      </c>
    </row>
    <row r="35">
      <c r="B35" s="10" t="inlineStr">
        <is>
          <t>Cash from operations</t>
        </is>
      </c>
      <c r="C35" s="17" t="n">
        <v>2025</v>
      </c>
      <c r="D35" s="10" t="inlineStr">
        <is>
          <t>2025-05-31</t>
        </is>
      </c>
      <c r="E35" s="63" t="n">
        <v>3698</v>
      </c>
      <c r="F35" s="10" t="inlineStr">
        <is>
          <t>NetCashProvidedByUsedInOperatingActivities</t>
        </is>
      </c>
      <c r="G35" s="10" t="inlineStr">
        <is>
          <t>10-K</t>
        </is>
      </c>
      <c r="H35" s="64" t="inlineStr">
        <is>
          <t>0000320187-26-000088</t>
        </is>
      </c>
      <c r="I35" s="10" t="inlineStr">
        <is>
          <t>2026-07-15</t>
        </is>
      </c>
    </row>
    <row r="36">
      <c r="B36" s="10" t="inlineStr">
        <is>
          <t>Cash from operations</t>
        </is>
      </c>
      <c r="C36" s="17" t="n">
        <v>2026</v>
      </c>
      <c r="D36" s="10" t="inlineStr">
        <is>
          <t>2026-05-31</t>
        </is>
      </c>
      <c r="E36" s="63" t="n">
        <v>2868</v>
      </c>
      <c r="F36" s="10" t="inlineStr">
        <is>
          <t>NetCashProvidedByUsedInOperatingActivities</t>
        </is>
      </c>
      <c r="G36" s="10" t="inlineStr">
        <is>
          <t>10-K</t>
        </is>
      </c>
      <c r="H36" s="64" t="inlineStr">
        <is>
          <t>0000320187-26-000088</t>
        </is>
      </c>
      <c r="I36" s="10" t="inlineStr">
        <is>
          <t>2026-07-15</t>
        </is>
      </c>
    </row>
    <row r="37">
      <c r="B37" s="10" t="inlineStr">
        <is>
          <t>Cost of revenue</t>
        </is>
      </c>
      <c r="C37" s="17" t="n">
        <v>2019</v>
      </c>
      <c r="D37" s="10" t="inlineStr">
        <is>
          <t>2019-05-31</t>
        </is>
      </c>
      <c r="E37" s="63" t="n">
        <v>21643</v>
      </c>
      <c r="F37" s="10" t="inlineStr">
        <is>
          <t>CostOfGoodsAndServicesSold</t>
        </is>
      </c>
      <c r="G37" s="10" t="inlineStr">
        <is>
          <t>10-K</t>
        </is>
      </c>
      <c r="H37" s="64" t="inlineStr">
        <is>
          <t>0000320187-21-000028</t>
        </is>
      </c>
      <c r="I37" s="10" t="inlineStr">
        <is>
          <t>2021-07-20</t>
        </is>
      </c>
    </row>
    <row r="38">
      <c r="B38" s="10" t="inlineStr">
        <is>
          <t>Cost of revenue</t>
        </is>
      </c>
      <c r="C38" s="17" t="n">
        <v>2020</v>
      </c>
      <c r="D38" s="10" t="inlineStr">
        <is>
          <t>2020-05-31</t>
        </is>
      </c>
      <c r="E38" s="63" t="n">
        <v>21162</v>
      </c>
      <c r="F38" s="10" t="inlineStr">
        <is>
          <t>CostOfGoodsAndServicesSold</t>
        </is>
      </c>
      <c r="G38" s="10" t="inlineStr">
        <is>
          <t>10-K</t>
        </is>
      </c>
      <c r="H38" s="64" t="inlineStr">
        <is>
          <t>0000320187-22-000038</t>
        </is>
      </c>
      <c r="I38" s="10" t="inlineStr">
        <is>
          <t>2022-07-21</t>
        </is>
      </c>
    </row>
    <row r="39">
      <c r="B39" s="10" t="inlineStr">
        <is>
          <t>Cost of revenue</t>
        </is>
      </c>
      <c r="C39" s="17" t="n">
        <v>2021</v>
      </c>
      <c r="D39" s="10" t="inlineStr">
        <is>
          <t>2021-05-31</t>
        </is>
      </c>
      <c r="E39" s="63" t="n">
        <v>24576</v>
      </c>
      <c r="F39" s="10" t="inlineStr">
        <is>
          <t>CostOfGoodsAndServicesSold</t>
        </is>
      </c>
      <c r="G39" s="10" t="inlineStr">
        <is>
          <t>10-K</t>
        </is>
      </c>
      <c r="H39" s="64" t="inlineStr">
        <is>
          <t>0000320187-23-000039</t>
        </is>
      </c>
      <c r="I39" s="10" t="inlineStr">
        <is>
          <t>2023-07-20</t>
        </is>
      </c>
    </row>
    <row r="40">
      <c r="B40" s="10" t="inlineStr">
        <is>
          <t>Cost of revenue</t>
        </is>
      </c>
      <c r="C40" s="17" t="n">
        <v>2022</v>
      </c>
      <c r="D40" s="10" t="inlineStr">
        <is>
          <t>2022-05-31</t>
        </is>
      </c>
      <c r="E40" s="63" t="n">
        <v>25231</v>
      </c>
      <c r="F40" s="10" t="inlineStr">
        <is>
          <t>CostOfGoodsAndServicesSold</t>
        </is>
      </c>
      <c r="G40" s="10" t="inlineStr">
        <is>
          <t>10-K</t>
        </is>
      </c>
      <c r="H40" s="64" t="inlineStr">
        <is>
          <t>0000320187-24-000044</t>
        </is>
      </c>
      <c r="I40" s="10" t="inlineStr">
        <is>
          <t>2024-07-25</t>
        </is>
      </c>
    </row>
    <row r="41">
      <c r="B41" s="10" t="inlineStr">
        <is>
          <t>Cost of revenue</t>
        </is>
      </c>
      <c r="C41" s="17" t="n">
        <v>2023</v>
      </c>
      <c r="D41" s="10" t="inlineStr">
        <is>
          <t>2023-05-31</t>
        </is>
      </c>
      <c r="E41" s="63" t="n">
        <v>28925</v>
      </c>
      <c r="F41" s="10" t="inlineStr">
        <is>
          <t>CostOfGoodsAndServicesSold</t>
        </is>
      </c>
      <c r="G41" s="10" t="inlineStr">
        <is>
          <t>10-K</t>
        </is>
      </c>
      <c r="H41" s="64" t="inlineStr">
        <is>
          <t>0000320187-25-000047</t>
        </is>
      </c>
      <c r="I41" s="10" t="inlineStr">
        <is>
          <t>2025-07-17</t>
        </is>
      </c>
    </row>
    <row r="42">
      <c r="B42" s="10" t="inlineStr">
        <is>
          <t>Cost of revenue</t>
        </is>
      </c>
      <c r="C42" s="17" t="n">
        <v>2024</v>
      </c>
      <c r="D42" s="10" t="inlineStr">
        <is>
          <t>2024-05-31</t>
        </is>
      </c>
      <c r="E42" s="63" t="n">
        <v>28475</v>
      </c>
      <c r="F42" s="10" t="inlineStr">
        <is>
          <t>CostOfGoodsAndServicesSold</t>
        </is>
      </c>
      <c r="G42" s="10" t="inlineStr">
        <is>
          <t>10-K</t>
        </is>
      </c>
      <c r="H42" s="64" t="inlineStr">
        <is>
          <t>0000320187-26-000088</t>
        </is>
      </c>
      <c r="I42" s="10" t="inlineStr">
        <is>
          <t>2026-07-15</t>
        </is>
      </c>
    </row>
    <row r="43">
      <c r="B43" s="10" t="inlineStr">
        <is>
          <t>Cost of revenue</t>
        </is>
      </c>
      <c r="C43" s="17" t="n">
        <v>2025</v>
      </c>
      <c r="D43" s="10" t="inlineStr">
        <is>
          <t>2025-05-31</t>
        </is>
      </c>
      <c r="E43" s="63" t="n">
        <v>26519</v>
      </c>
      <c r="F43" s="10" t="inlineStr">
        <is>
          <t>CostOfGoodsAndServicesSold</t>
        </is>
      </c>
      <c r="G43" s="10" t="inlineStr">
        <is>
          <t>10-K</t>
        </is>
      </c>
      <c r="H43" s="64" t="inlineStr">
        <is>
          <t>0000320187-26-000088</t>
        </is>
      </c>
      <c r="I43" s="10" t="inlineStr">
        <is>
          <t>2026-07-15</t>
        </is>
      </c>
    </row>
    <row r="44">
      <c r="B44" s="10" t="inlineStr">
        <is>
          <t>Cost of revenue</t>
        </is>
      </c>
      <c r="C44" s="17" t="n">
        <v>2026</v>
      </c>
      <c r="D44" s="10" t="inlineStr">
        <is>
          <t>2026-05-31</t>
        </is>
      </c>
      <c r="E44" s="63" t="n">
        <v>26487</v>
      </c>
      <c r="F44" s="10" t="inlineStr">
        <is>
          <t>CostOfGoodsAndServicesSold</t>
        </is>
      </c>
      <c r="G44" s="10" t="inlineStr">
        <is>
          <t>10-K</t>
        </is>
      </c>
      <c r="H44" s="64" t="inlineStr">
        <is>
          <t>0000320187-26-000088</t>
        </is>
      </c>
      <c r="I44" s="10" t="inlineStr">
        <is>
          <t>2026-07-15</t>
        </is>
      </c>
    </row>
    <row r="45">
      <c r="B45" s="10" t="inlineStr">
        <is>
          <t>Current assets</t>
        </is>
      </c>
      <c r="C45" s="17" t="n">
        <v>2019</v>
      </c>
      <c r="D45" s="10" t="inlineStr">
        <is>
          <t>2019-05-31</t>
        </is>
      </c>
      <c r="E45" s="63" t="n">
        <v>16525</v>
      </c>
      <c r="F45" s="10" t="inlineStr">
        <is>
          <t>AssetsCurrent</t>
        </is>
      </c>
      <c r="G45" s="10" t="inlineStr">
        <is>
          <t>10-K</t>
        </is>
      </c>
      <c r="H45" s="64" t="inlineStr">
        <is>
          <t>0000320187-20-000047</t>
        </is>
      </c>
      <c r="I45" s="10" t="inlineStr">
        <is>
          <t>2020-07-24</t>
        </is>
      </c>
    </row>
    <row r="46">
      <c r="B46" s="10" t="inlineStr">
        <is>
          <t>Current assets</t>
        </is>
      </c>
      <c r="C46" s="17" t="n">
        <v>2020</v>
      </c>
      <c r="D46" s="10" t="inlineStr">
        <is>
          <t>2020-05-31</t>
        </is>
      </c>
      <c r="E46" s="63" t="n">
        <v>20556</v>
      </c>
      <c r="F46" s="10" t="inlineStr">
        <is>
          <t>AssetsCurrent</t>
        </is>
      </c>
      <c r="G46" s="10" t="inlineStr">
        <is>
          <t>10-K</t>
        </is>
      </c>
      <c r="H46" s="64" t="inlineStr">
        <is>
          <t>0000320187-21-000028</t>
        </is>
      </c>
      <c r="I46" s="10" t="inlineStr">
        <is>
          <t>2021-07-20</t>
        </is>
      </c>
    </row>
    <row r="47">
      <c r="B47" s="10" t="inlineStr">
        <is>
          <t>Current assets</t>
        </is>
      </c>
      <c r="C47" s="17" t="n">
        <v>2021</v>
      </c>
      <c r="D47" s="10" t="inlineStr">
        <is>
          <t>2021-05-31</t>
        </is>
      </c>
      <c r="E47" s="63" t="n">
        <v>26291</v>
      </c>
      <c r="F47" s="10" t="inlineStr">
        <is>
          <t>AssetsCurrent</t>
        </is>
      </c>
      <c r="G47" s="10" t="inlineStr">
        <is>
          <t>10-K</t>
        </is>
      </c>
      <c r="H47" s="64" t="inlineStr">
        <is>
          <t>0000320187-22-000038</t>
        </is>
      </c>
      <c r="I47" s="10" t="inlineStr">
        <is>
          <t>2022-07-21</t>
        </is>
      </c>
    </row>
    <row r="48">
      <c r="B48" s="10" t="inlineStr">
        <is>
          <t>Current assets</t>
        </is>
      </c>
      <c r="C48" s="17" t="n">
        <v>2022</v>
      </c>
      <c r="D48" s="10" t="inlineStr">
        <is>
          <t>2022-05-31</t>
        </is>
      </c>
      <c r="E48" s="63" t="n">
        <v>28213</v>
      </c>
      <c r="F48" s="10" t="inlineStr">
        <is>
          <t>AssetsCurrent</t>
        </is>
      </c>
      <c r="G48" s="10" t="inlineStr">
        <is>
          <t>10-K</t>
        </is>
      </c>
      <c r="H48" s="64" t="inlineStr">
        <is>
          <t>0000320187-23-000039</t>
        </is>
      </c>
      <c r="I48" s="10" t="inlineStr">
        <is>
          <t>2023-07-20</t>
        </is>
      </c>
    </row>
    <row r="49">
      <c r="B49" s="10" t="inlineStr">
        <is>
          <t>Current assets</t>
        </is>
      </c>
      <c r="C49" s="17" t="n">
        <v>2023</v>
      </c>
      <c r="D49" s="10" t="inlineStr">
        <is>
          <t>2023-05-31</t>
        </is>
      </c>
      <c r="E49" s="63" t="n">
        <v>25202</v>
      </c>
      <c r="F49" s="10" t="inlineStr">
        <is>
          <t>AssetsCurrent</t>
        </is>
      </c>
      <c r="G49" s="10" t="inlineStr">
        <is>
          <t>10-K</t>
        </is>
      </c>
      <c r="H49" s="64" t="inlineStr">
        <is>
          <t>0000320187-24-000044</t>
        </is>
      </c>
      <c r="I49" s="10" t="inlineStr">
        <is>
          <t>2024-07-25</t>
        </is>
      </c>
    </row>
    <row r="50">
      <c r="B50" s="10" t="inlineStr">
        <is>
          <t>Current assets</t>
        </is>
      </c>
      <c r="C50" s="17" t="n">
        <v>2024</v>
      </c>
      <c r="D50" s="10" t="inlineStr">
        <is>
          <t>2024-05-31</t>
        </is>
      </c>
      <c r="E50" s="63" t="n">
        <v>25382</v>
      </c>
      <c r="F50" s="10" t="inlineStr">
        <is>
          <t>AssetsCurrent</t>
        </is>
      </c>
      <c r="G50" s="10" t="inlineStr">
        <is>
          <t>10-K</t>
        </is>
      </c>
      <c r="H50" s="64" t="inlineStr">
        <is>
          <t>0000320187-25-000047</t>
        </is>
      </c>
      <c r="I50" s="10" t="inlineStr">
        <is>
          <t>2025-07-17</t>
        </is>
      </c>
    </row>
    <row r="51">
      <c r="B51" s="10" t="inlineStr">
        <is>
          <t>Current assets</t>
        </is>
      </c>
      <c r="C51" s="17" t="n">
        <v>2025</v>
      </c>
      <c r="D51" s="10" t="inlineStr">
        <is>
          <t>2025-05-31</t>
        </is>
      </c>
      <c r="E51" s="63" t="n">
        <v>23362</v>
      </c>
      <c r="F51" s="10" t="inlineStr">
        <is>
          <t>AssetsCurrent</t>
        </is>
      </c>
      <c r="G51" s="10" t="inlineStr">
        <is>
          <t>10-K</t>
        </is>
      </c>
      <c r="H51" s="64" t="inlineStr">
        <is>
          <t>0000320187-26-000088</t>
        </is>
      </c>
      <c r="I51" s="10" t="inlineStr">
        <is>
          <t>2026-07-15</t>
        </is>
      </c>
    </row>
    <row r="52">
      <c r="B52" s="10" t="inlineStr">
        <is>
          <t>Current assets</t>
        </is>
      </c>
      <c r="C52" s="17" t="n">
        <v>2026</v>
      </c>
      <c r="D52" s="10" t="inlineStr">
        <is>
          <t>2026-05-31</t>
        </is>
      </c>
      <c r="E52" s="63" t="n">
        <v>24603</v>
      </c>
      <c r="F52" s="10" t="inlineStr">
        <is>
          <t>AssetsCurrent</t>
        </is>
      </c>
      <c r="G52" s="10" t="inlineStr">
        <is>
          <t>10-K</t>
        </is>
      </c>
      <c r="H52" s="64" t="inlineStr">
        <is>
          <t>0000320187-26-000088</t>
        </is>
      </c>
      <c r="I52" s="10" t="inlineStr">
        <is>
          <t>2026-07-15</t>
        </is>
      </c>
    </row>
    <row r="53">
      <c r="B53" s="10" t="inlineStr">
        <is>
          <t>Current liabilities</t>
        </is>
      </c>
      <c r="C53" s="17" t="n">
        <v>2019</v>
      </c>
      <c r="D53" s="10" t="inlineStr">
        <is>
          <t>2019-05-31</t>
        </is>
      </c>
      <c r="E53" s="63" t="n">
        <v>7866</v>
      </c>
      <c r="F53" s="10" t="inlineStr">
        <is>
          <t>LiabilitiesCurrent</t>
        </is>
      </c>
      <c r="G53" s="10" t="inlineStr">
        <is>
          <t>10-K</t>
        </is>
      </c>
      <c r="H53" s="64" t="inlineStr">
        <is>
          <t>0000320187-20-000047</t>
        </is>
      </c>
      <c r="I53" s="10" t="inlineStr">
        <is>
          <t>2020-07-24</t>
        </is>
      </c>
    </row>
    <row r="54">
      <c r="B54" s="10" t="inlineStr">
        <is>
          <t>Current liabilities</t>
        </is>
      </c>
      <c r="C54" s="17" t="n">
        <v>2020</v>
      </c>
      <c r="D54" s="10" t="inlineStr">
        <is>
          <t>2020-05-31</t>
        </is>
      </c>
      <c r="E54" s="63" t="n">
        <v>8284</v>
      </c>
      <c r="F54" s="10" t="inlineStr">
        <is>
          <t>LiabilitiesCurrent</t>
        </is>
      </c>
      <c r="G54" s="10" t="inlineStr">
        <is>
          <t>10-K</t>
        </is>
      </c>
      <c r="H54" s="64" t="inlineStr">
        <is>
          <t>0000320187-21-000028</t>
        </is>
      </c>
      <c r="I54" s="10" t="inlineStr">
        <is>
          <t>2021-07-20</t>
        </is>
      </c>
    </row>
    <row r="55">
      <c r="B55" s="10" t="inlineStr">
        <is>
          <t>Current liabilities</t>
        </is>
      </c>
      <c r="C55" s="17" t="n">
        <v>2021</v>
      </c>
      <c r="D55" s="10" t="inlineStr">
        <is>
          <t>2021-05-31</t>
        </is>
      </c>
      <c r="E55" s="63" t="n">
        <v>9674</v>
      </c>
      <c r="F55" s="10" t="inlineStr">
        <is>
          <t>LiabilitiesCurrent</t>
        </is>
      </c>
      <c r="G55" s="10" t="inlineStr">
        <is>
          <t>10-K</t>
        </is>
      </c>
      <c r="H55" s="64" t="inlineStr">
        <is>
          <t>0000320187-22-000038</t>
        </is>
      </c>
      <c r="I55" s="10" t="inlineStr">
        <is>
          <t>2022-07-21</t>
        </is>
      </c>
    </row>
    <row r="56">
      <c r="B56" s="10" t="inlineStr">
        <is>
          <t>Current liabilities</t>
        </is>
      </c>
      <c r="C56" s="17" t="n">
        <v>2022</v>
      </c>
      <c r="D56" s="10" t="inlineStr">
        <is>
          <t>2022-05-31</t>
        </is>
      </c>
      <c r="E56" s="63" t="n">
        <v>10730</v>
      </c>
      <c r="F56" s="10" t="inlineStr">
        <is>
          <t>LiabilitiesCurrent</t>
        </is>
      </c>
      <c r="G56" s="10" t="inlineStr">
        <is>
          <t>10-K</t>
        </is>
      </c>
      <c r="H56" s="64" t="inlineStr">
        <is>
          <t>0000320187-23-000039</t>
        </is>
      </c>
      <c r="I56" s="10" t="inlineStr">
        <is>
          <t>2023-07-20</t>
        </is>
      </c>
    </row>
    <row r="57">
      <c r="B57" s="10" t="inlineStr">
        <is>
          <t>Current liabilities</t>
        </is>
      </c>
      <c r="C57" s="17" t="n">
        <v>2023</v>
      </c>
      <c r="D57" s="10" t="inlineStr">
        <is>
          <t>2023-05-31</t>
        </is>
      </c>
      <c r="E57" s="63" t="n">
        <v>9256</v>
      </c>
      <c r="F57" s="10" t="inlineStr">
        <is>
          <t>LiabilitiesCurrent</t>
        </is>
      </c>
      <c r="G57" s="10" t="inlineStr">
        <is>
          <t>10-K</t>
        </is>
      </c>
      <c r="H57" s="64" t="inlineStr">
        <is>
          <t>0000320187-24-000044</t>
        </is>
      </c>
      <c r="I57" s="10" t="inlineStr">
        <is>
          <t>2024-07-25</t>
        </is>
      </c>
    </row>
    <row r="58">
      <c r="B58" s="10" t="inlineStr">
        <is>
          <t>Current liabilities</t>
        </is>
      </c>
      <c r="C58" s="17" t="n">
        <v>2024</v>
      </c>
      <c r="D58" s="10" t="inlineStr">
        <is>
          <t>2024-05-31</t>
        </is>
      </c>
      <c r="E58" s="63" t="n">
        <v>10593</v>
      </c>
      <c r="F58" s="10" t="inlineStr">
        <is>
          <t>LiabilitiesCurrent</t>
        </is>
      </c>
      <c r="G58" s="10" t="inlineStr">
        <is>
          <t>10-K</t>
        </is>
      </c>
      <c r="H58" s="64" t="inlineStr">
        <is>
          <t>0000320187-25-000047</t>
        </is>
      </c>
      <c r="I58" s="10" t="inlineStr">
        <is>
          <t>2025-07-17</t>
        </is>
      </c>
    </row>
    <row r="59">
      <c r="B59" s="10" t="inlineStr">
        <is>
          <t>Current liabilities</t>
        </is>
      </c>
      <c r="C59" s="17" t="n">
        <v>2025</v>
      </c>
      <c r="D59" s="10" t="inlineStr">
        <is>
          <t>2025-05-31</t>
        </is>
      </c>
      <c r="E59" s="63" t="n">
        <v>10566</v>
      </c>
      <c r="F59" s="10" t="inlineStr">
        <is>
          <t>LiabilitiesCurrent</t>
        </is>
      </c>
      <c r="G59" s="10" t="inlineStr">
        <is>
          <t>10-K</t>
        </is>
      </c>
      <c r="H59" s="64" t="inlineStr">
        <is>
          <t>0000320187-26-000088</t>
        </is>
      </c>
      <c r="I59" s="10" t="inlineStr">
        <is>
          <t>2026-07-15</t>
        </is>
      </c>
    </row>
    <row r="60">
      <c r="B60" s="10" t="inlineStr">
        <is>
          <t>Current liabilities</t>
        </is>
      </c>
      <c r="C60" s="17" t="n">
        <v>2026</v>
      </c>
      <c r="D60" s="10" t="inlineStr">
        <is>
          <t>2026-05-31</t>
        </is>
      </c>
      <c r="E60" s="63" t="n">
        <v>12547</v>
      </c>
      <c r="F60" s="10" t="inlineStr">
        <is>
          <t>LiabilitiesCurrent</t>
        </is>
      </c>
      <c r="G60" s="10" t="inlineStr">
        <is>
          <t>10-K</t>
        </is>
      </c>
      <c r="H60" s="64" t="inlineStr">
        <is>
          <t>0000320187-26-000088</t>
        </is>
      </c>
      <c r="I60" s="10" t="inlineStr">
        <is>
          <t>2026-07-15</t>
        </is>
      </c>
    </row>
    <row r="61">
      <c r="B61" s="10" t="inlineStr">
        <is>
          <t>Depreciation &amp; amortisation</t>
        </is>
      </c>
      <c r="C61" s="17" t="n">
        <v>2023</v>
      </c>
      <c r="D61" s="10" t="inlineStr">
        <is>
          <t>2023-05-31</t>
        </is>
      </c>
      <c r="E61" s="63" t="n">
        <v>703</v>
      </c>
      <c r="F61" s="10" t="inlineStr">
        <is>
          <t>DepreciationDepletionAndAmortization</t>
        </is>
      </c>
      <c r="G61" s="10" t="inlineStr">
        <is>
          <t>10-K</t>
        </is>
      </c>
      <c r="H61" s="64" t="inlineStr">
        <is>
          <t>0000320187-25-000047</t>
        </is>
      </c>
      <c r="I61" s="10" t="inlineStr">
        <is>
          <t>2025-07-17</t>
        </is>
      </c>
    </row>
    <row r="62">
      <c r="B62" s="10" t="inlineStr">
        <is>
          <t>Depreciation &amp; amortisation</t>
        </is>
      </c>
      <c r="C62" s="17" t="n">
        <v>2024</v>
      </c>
      <c r="D62" s="10" t="inlineStr">
        <is>
          <t>2024-05-31</t>
        </is>
      </c>
      <c r="E62" s="63" t="n">
        <v>796</v>
      </c>
      <c r="F62" s="10" t="inlineStr">
        <is>
          <t>DepreciationDepletionAndAmortization</t>
        </is>
      </c>
      <c r="G62" s="10" t="inlineStr">
        <is>
          <t>10-K</t>
        </is>
      </c>
      <c r="H62" s="64" t="inlineStr">
        <is>
          <t>0000320187-26-000088</t>
        </is>
      </c>
      <c r="I62" s="10" t="inlineStr">
        <is>
          <t>2026-07-15</t>
        </is>
      </c>
    </row>
    <row r="63">
      <c r="B63" s="10" t="inlineStr">
        <is>
          <t>Depreciation &amp; amortisation</t>
        </is>
      </c>
      <c r="C63" s="17" t="n">
        <v>2025</v>
      </c>
      <c r="D63" s="10" t="inlineStr">
        <is>
          <t>2025-05-31</t>
        </is>
      </c>
      <c r="E63" s="63" t="n">
        <v>775</v>
      </c>
      <c r="F63" s="10" t="inlineStr">
        <is>
          <t>DepreciationDepletionAndAmortization</t>
        </is>
      </c>
      <c r="G63" s="10" t="inlineStr">
        <is>
          <t>10-K</t>
        </is>
      </c>
      <c r="H63" s="64" t="inlineStr">
        <is>
          <t>0000320187-26-000088</t>
        </is>
      </c>
      <c r="I63" s="10" t="inlineStr">
        <is>
          <t>2026-07-15</t>
        </is>
      </c>
    </row>
    <row r="64">
      <c r="B64" s="10" t="inlineStr">
        <is>
          <t>Depreciation &amp; amortisation</t>
        </is>
      </c>
      <c r="C64" s="17" t="n">
        <v>2026</v>
      </c>
      <c r="D64" s="10" t="inlineStr">
        <is>
          <t>2026-05-31</t>
        </is>
      </c>
      <c r="E64" s="63" t="n">
        <v>747</v>
      </c>
      <c r="F64" s="10" t="inlineStr">
        <is>
          <t>DepreciationDepletionAndAmortization</t>
        </is>
      </c>
      <c r="G64" s="10" t="inlineStr">
        <is>
          <t>10-K</t>
        </is>
      </c>
      <c r="H64" s="64" t="inlineStr">
        <is>
          <t>0000320187-26-000088</t>
        </is>
      </c>
      <c r="I64" s="10" t="inlineStr">
        <is>
          <t>2026-07-15</t>
        </is>
      </c>
    </row>
    <row r="65">
      <c r="B65" s="10" t="inlineStr">
        <is>
          <t>depreciation</t>
        </is>
      </c>
      <c r="C65" s="17" t="n">
        <v>2019</v>
      </c>
      <c r="D65" s="10" t="inlineStr">
        <is>
          <t>2019-05-31</t>
        </is>
      </c>
      <c r="E65" s="63" t="n">
        <v>705</v>
      </c>
      <c r="F65" s="10" t="inlineStr">
        <is>
          <t>Depreciation</t>
        </is>
      </c>
      <c r="G65" s="10" t="inlineStr">
        <is>
          <t>10-K</t>
        </is>
      </c>
      <c r="H65" s="64" t="inlineStr">
        <is>
          <t>0000320187-21-000028</t>
        </is>
      </c>
      <c r="I65" s="10" t="inlineStr">
        <is>
          <t>2021-07-20</t>
        </is>
      </c>
    </row>
    <row r="66">
      <c r="B66" s="10" t="inlineStr">
        <is>
          <t>depreciation</t>
        </is>
      </c>
      <c r="C66" s="17" t="n">
        <v>2020</v>
      </c>
      <c r="D66" s="10" t="inlineStr">
        <is>
          <t>2020-05-31</t>
        </is>
      </c>
      <c r="E66" s="63" t="n">
        <v>721</v>
      </c>
      <c r="F66" s="10" t="inlineStr">
        <is>
          <t>Depreciation</t>
        </is>
      </c>
      <c r="G66" s="10" t="inlineStr">
        <is>
          <t>10-K</t>
        </is>
      </c>
      <c r="H66" s="64" t="inlineStr">
        <is>
          <t>0000320187-22-000038</t>
        </is>
      </c>
      <c r="I66" s="10" t="inlineStr">
        <is>
          <t>2022-07-21</t>
        </is>
      </c>
    </row>
    <row r="67">
      <c r="B67" s="10" t="inlineStr">
        <is>
          <t>depreciation</t>
        </is>
      </c>
      <c r="C67" s="17" t="n">
        <v>2021</v>
      </c>
      <c r="D67" s="10" t="inlineStr">
        <is>
          <t>2021-05-31</t>
        </is>
      </c>
      <c r="E67" s="63" t="n">
        <v>744</v>
      </c>
      <c r="F67" s="10" t="inlineStr">
        <is>
          <t>Depreciation</t>
        </is>
      </c>
      <c r="G67" s="10" t="inlineStr">
        <is>
          <t>10-K</t>
        </is>
      </c>
      <c r="H67" s="64" t="inlineStr">
        <is>
          <t>0000320187-23-000039</t>
        </is>
      </c>
      <c r="I67" s="10" t="inlineStr">
        <is>
          <t>2023-07-20</t>
        </is>
      </c>
    </row>
    <row r="68">
      <c r="B68" s="10" t="inlineStr">
        <is>
          <t>depreciation</t>
        </is>
      </c>
      <c r="C68" s="17" t="n">
        <v>2022</v>
      </c>
      <c r="D68" s="10" t="inlineStr">
        <is>
          <t>2022-05-31</t>
        </is>
      </c>
      <c r="E68" s="63" t="n">
        <v>717</v>
      </c>
      <c r="F68" s="10" t="inlineStr">
        <is>
          <t>Depreciation</t>
        </is>
      </c>
      <c r="G68" s="10" t="inlineStr">
        <is>
          <t>10-K</t>
        </is>
      </c>
      <c r="H68" s="64" t="inlineStr">
        <is>
          <t>0000320187-24-000044</t>
        </is>
      </c>
      <c r="I68" s="10" t="inlineStr">
        <is>
          <t>2024-07-25</t>
        </is>
      </c>
    </row>
    <row r="69">
      <c r="B69" s="10" t="inlineStr">
        <is>
          <t>depreciation</t>
        </is>
      </c>
      <c r="C69" s="17" t="n">
        <v>2023</v>
      </c>
      <c r="D69" s="10" t="inlineStr">
        <is>
          <t>2023-05-31</t>
        </is>
      </c>
      <c r="E69" s="63" t="n">
        <v>703</v>
      </c>
      <c r="F69" s="10" t="inlineStr">
        <is>
          <t>Depreciation</t>
        </is>
      </c>
      <c r="G69" s="10" t="inlineStr">
        <is>
          <t>10-K</t>
        </is>
      </c>
      <c r="H69" s="64" t="inlineStr">
        <is>
          <t>0000320187-24-000044</t>
        </is>
      </c>
      <c r="I69" s="10" t="inlineStr">
        <is>
          <t>2024-07-25</t>
        </is>
      </c>
    </row>
    <row r="70">
      <c r="B70" s="10" t="inlineStr">
        <is>
          <t>depreciation</t>
        </is>
      </c>
      <c r="C70" s="17" t="n">
        <v>2024</v>
      </c>
      <c r="D70" s="10" t="inlineStr">
        <is>
          <t>2024-05-31</t>
        </is>
      </c>
      <c r="E70" s="63" t="n">
        <v>796</v>
      </c>
      <c r="F70" s="10" t="inlineStr">
        <is>
          <t>Depreciation</t>
        </is>
      </c>
      <c r="G70" s="10" t="inlineStr">
        <is>
          <t>10-K</t>
        </is>
      </c>
      <c r="H70" s="64" t="inlineStr">
        <is>
          <t>0000320187-24-000044</t>
        </is>
      </c>
      <c r="I70" s="10" t="inlineStr">
        <is>
          <t>2024-07-25</t>
        </is>
      </c>
    </row>
    <row r="71">
      <c r="B71" s="10" t="inlineStr">
        <is>
          <t>Diluted shares (weighted avg)</t>
        </is>
      </c>
      <c r="C71" s="17" t="n">
        <v>2019</v>
      </c>
      <c r="D71" s="10" t="inlineStr">
        <is>
          <t>2019-05-31</t>
        </is>
      </c>
      <c r="E71" s="63" t="n">
        <v>1618400000</v>
      </c>
      <c r="F71" s="10" t="inlineStr">
        <is>
          <t>WeightedAverageNumberOfDilutedSharesOutstanding</t>
        </is>
      </c>
      <c r="G71" s="10" t="inlineStr">
        <is>
          <t>10-K</t>
        </is>
      </c>
      <c r="H71" s="64" t="inlineStr">
        <is>
          <t>0000320187-21-000028</t>
        </is>
      </c>
      <c r="I71" s="10" t="inlineStr">
        <is>
          <t>2021-07-20</t>
        </is>
      </c>
    </row>
    <row r="72">
      <c r="B72" s="10" t="inlineStr">
        <is>
          <t>Diluted shares (weighted avg)</t>
        </is>
      </c>
      <c r="C72" s="17" t="n">
        <v>2020</v>
      </c>
      <c r="D72" s="10" t="inlineStr">
        <is>
          <t>2020-05-31</t>
        </is>
      </c>
      <c r="E72" s="63" t="n">
        <v>1591600000</v>
      </c>
      <c r="F72" s="10" t="inlineStr">
        <is>
          <t>WeightedAverageNumberOfDilutedSharesOutstanding</t>
        </is>
      </c>
      <c r="G72" s="10" t="inlineStr">
        <is>
          <t>10-K</t>
        </is>
      </c>
      <c r="H72" s="64" t="inlineStr">
        <is>
          <t>0000320187-22-000038</t>
        </is>
      </c>
      <c r="I72" s="10" t="inlineStr">
        <is>
          <t>2022-07-21</t>
        </is>
      </c>
    </row>
    <row r="73">
      <c r="B73" s="10" t="inlineStr">
        <is>
          <t>Diluted shares (weighted avg)</t>
        </is>
      </c>
      <c r="C73" s="17" t="n">
        <v>2021</v>
      </c>
      <c r="D73" s="10" t="inlineStr">
        <is>
          <t>2021-05-31</t>
        </is>
      </c>
      <c r="E73" s="63" t="n">
        <v>1609400000</v>
      </c>
      <c r="F73" s="10" t="inlineStr">
        <is>
          <t>WeightedAverageNumberOfDilutedSharesOutstanding</t>
        </is>
      </c>
      <c r="G73" s="10" t="inlineStr">
        <is>
          <t>10-K</t>
        </is>
      </c>
      <c r="H73" s="64" t="inlineStr">
        <is>
          <t>0000320187-23-000039</t>
        </is>
      </c>
      <c r="I73" s="10" t="inlineStr">
        <is>
          <t>2023-07-20</t>
        </is>
      </c>
    </row>
    <row r="74">
      <c r="B74" s="10" t="inlineStr">
        <is>
          <t>Diluted shares (weighted avg)</t>
        </is>
      </c>
      <c r="C74" s="17" t="n">
        <v>2022</v>
      </c>
      <c r="D74" s="10" t="inlineStr">
        <is>
          <t>2022-05-31</t>
        </is>
      </c>
      <c r="E74" s="63" t="n">
        <v>1610800000</v>
      </c>
      <c r="F74" s="10" t="inlineStr">
        <is>
          <t>WeightedAverageNumberOfDilutedSharesOutstanding</t>
        </is>
      </c>
      <c r="G74" s="10" t="inlineStr">
        <is>
          <t>10-K</t>
        </is>
      </c>
      <c r="H74" s="64" t="inlineStr">
        <is>
          <t>0000320187-24-000044</t>
        </is>
      </c>
      <c r="I74" s="10" t="inlineStr">
        <is>
          <t>2024-07-25</t>
        </is>
      </c>
    </row>
    <row r="75">
      <c r="B75" s="10" t="inlineStr">
        <is>
          <t>Diluted shares (weighted avg)</t>
        </is>
      </c>
      <c r="C75" s="17" t="n">
        <v>2023</v>
      </c>
      <c r="D75" s="10" t="inlineStr">
        <is>
          <t>2023-05-31</t>
        </is>
      </c>
      <c r="E75" s="63" t="n">
        <v>1569800000</v>
      </c>
      <c r="F75" s="10" t="inlineStr">
        <is>
          <t>WeightedAverageNumberOfDilutedSharesOutstanding</t>
        </is>
      </c>
      <c r="G75" s="10" t="inlineStr">
        <is>
          <t>10-K</t>
        </is>
      </c>
      <c r="H75" s="64" t="inlineStr">
        <is>
          <t>0000320187-25-000047</t>
        </is>
      </c>
      <c r="I75" s="10" t="inlineStr">
        <is>
          <t>2025-07-17</t>
        </is>
      </c>
    </row>
    <row r="76">
      <c r="B76" s="10" t="inlineStr">
        <is>
          <t>Diluted shares (weighted avg)</t>
        </is>
      </c>
      <c r="C76" s="17" t="n">
        <v>2024</v>
      </c>
      <c r="D76" s="10" t="inlineStr">
        <is>
          <t>2024-05-31</t>
        </is>
      </c>
      <c r="E76" s="63" t="n">
        <v>1529700000</v>
      </c>
      <c r="F76" s="10" t="inlineStr">
        <is>
          <t>WeightedAverageNumberOfDilutedSharesOutstanding</t>
        </is>
      </c>
      <c r="G76" s="10" t="inlineStr">
        <is>
          <t>10-K</t>
        </is>
      </c>
      <c r="H76" s="64" t="inlineStr">
        <is>
          <t>0000320187-26-000088</t>
        </is>
      </c>
      <c r="I76" s="10" t="inlineStr">
        <is>
          <t>2026-07-15</t>
        </is>
      </c>
    </row>
    <row r="77">
      <c r="B77" s="10" t="inlineStr">
        <is>
          <t>Diluted shares (weighted avg)</t>
        </is>
      </c>
      <c r="C77" s="17" t="n">
        <v>2025</v>
      </c>
      <c r="D77" s="10" t="inlineStr">
        <is>
          <t>2025-05-31</t>
        </is>
      </c>
      <c r="E77" s="63" t="n">
        <v>1487600000</v>
      </c>
      <c r="F77" s="10" t="inlineStr">
        <is>
          <t>WeightedAverageNumberOfDilutedSharesOutstanding</t>
        </is>
      </c>
      <c r="G77" s="10" t="inlineStr">
        <is>
          <t>10-K</t>
        </is>
      </c>
      <c r="H77" s="64" t="inlineStr">
        <is>
          <t>0000320187-26-000088</t>
        </is>
      </c>
      <c r="I77" s="10" t="inlineStr">
        <is>
          <t>2026-07-15</t>
        </is>
      </c>
    </row>
    <row r="78">
      <c r="B78" s="10" t="inlineStr">
        <is>
          <t>Diluted shares (weighted avg)</t>
        </is>
      </c>
      <c r="C78" s="17" t="n">
        <v>2026</v>
      </c>
      <c r="D78" s="10" t="inlineStr">
        <is>
          <t>2026-05-31</t>
        </is>
      </c>
      <c r="E78" s="63" t="n">
        <v>1481000000</v>
      </c>
      <c r="F78" s="10" t="inlineStr">
        <is>
          <t>WeightedAverageNumberOfDilutedSharesOutstanding</t>
        </is>
      </c>
      <c r="G78" s="10" t="inlineStr">
        <is>
          <t>10-K</t>
        </is>
      </c>
      <c r="H78" s="64" t="inlineStr">
        <is>
          <t>0000320187-26-000088</t>
        </is>
      </c>
      <c r="I78" s="10" t="inlineStr">
        <is>
          <t>2026-07-15</t>
        </is>
      </c>
    </row>
    <row r="79">
      <c r="B79" s="10" t="inlineStr">
        <is>
          <t>Dividends paid</t>
        </is>
      </c>
      <c r="C79" s="17" t="n">
        <v>2019</v>
      </c>
      <c r="D79" s="10" t="inlineStr">
        <is>
          <t>2019-05-31</t>
        </is>
      </c>
      <c r="E79" s="63" t="n">
        <v>1332</v>
      </c>
      <c r="F79" s="10" t="inlineStr">
        <is>
          <t>PaymentsOfDividendsCommonStock</t>
        </is>
      </c>
      <c r="G79" s="10" t="inlineStr">
        <is>
          <t>10-K</t>
        </is>
      </c>
      <c r="H79" s="64" t="inlineStr">
        <is>
          <t>0000320187-21-000028</t>
        </is>
      </c>
      <c r="I79" s="10" t="inlineStr">
        <is>
          <t>2021-07-20</t>
        </is>
      </c>
    </row>
    <row r="80">
      <c r="B80" s="10" t="inlineStr">
        <is>
          <t>Dividends paid</t>
        </is>
      </c>
      <c r="C80" s="17" t="n">
        <v>2020</v>
      </c>
      <c r="D80" s="10" t="inlineStr">
        <is>
          <t>2020-05-31</t>
        </is>
      </c>
      <c r="E80" s="63" t="n">
        <v>1452</v>
      </c>
      <c r="F80" s="10" t="inlineStr">
        <is>
          <t>PaymentsOfDividendsCommonStock</t>
        </is>
      </c>
      <c r="G80" s="10" t="inlineStr">
        <is>
          <t>10-K</t>
        </is>
      </c>
      <c r="H80" s="64" t="inlineStr">
        <is>
          <t>0000320187-22-000038</t>
        </is>
      </c>
      <c r="I80" s="10" t="inlineStr">
        <is>
          <t>2022-07-21</t>
        </is>
      </c>
    </row>
    <row r="81">
      <c r="B81" s="10" t="inlineStr">
        <is>
          <t>Dividends paid</t>
        </is>
      </c>
      <c r="C81" s="17" t="n">
        <v>2021</v>
      </c>
      <c r="D81" s="10" t="inlineStr">
        <is>
          <t>2021-05-31</t>
        </is>
      </c>
      <c r="E81" s="63" t="n">
        <v>1638</v>
      </c>
      <c r="F81" s="10" t="inlineStr">
        <is>
          <t>PaymentsOfDividendsCommonStock</t>
        </is>
      </c>
      <c r="G81" s="10" t="inlineStr">
        <is>
          <t>10-K</t>
        </is>
      </c>
      <c r="H81" s="64" t="inlineStr">
        <is>
          <t>0000320187-23-000039</t>
        </is>
      </c>
      <c r="I81" s="10" t="inlineStr">
        <is>
          <t>2023-07-20</t>
        </is>
      </c>
    </row>
    <row r="82">
      <c r="B82" s="10" t="inlineStr">
        <is>
          <t>Dividends paid</t>
        </is>
      </c>
      <c r="C82" s="17" t="n">
        <v>2022</v>
      </c>
      <c r="D82" s="10" t="inlineStr">
        <is>
          <t>2022-05-31</t>
        </is>
      </c>
      <c r="E82" s="63" t="n">
        <v>1837</v>
      </c>
      <c r="F82" s="10" t="inlineStr">
        <is>
          <t>PaymentsOfDividendsCommonStock</t>
        </is>
      </c>
      <c r="G82" s="10" t="inlineStr">
        <is>
          <t>10-K</t>
        </is>
      </c>
      <c r="H82" s="64" t="inlineStr">
        <is>
          <t>0000320187-24-000044</t>
        </is>
      </c>
      <c r="I82" s="10" t="inlineStr">
        <is>
          <t>2024-07-25</t>
        </is>
      </c>
    </row>
    <row r="83">
      <c r="B83" s="10" t="inlineStr">
        <is>
          <t>Dividends paid</t>
        </is>
      </c>
      <c r="C83" s="17" t="n">
        <v>2023</v>
      </c>
      <c r="D83" s="10" t="inlineStr">
        <is>
          <t>2023-05-31</t>
        </is>
      </c>
      <c r="E83" s="63" t="n">
        <v>2012</v>
      </c>
      <c r="F83" s="10" t="inlineStr">
        <is>
          <t>PaymentsOfDividendsCommonStock</t>
        </is>
      </c>
      <c r="G83" s="10" t="inlineStr">
        <is>
          <t>10-K</t>
        </is>
      </c>
      <c r="H83" s="64" t="inlineStr">
        <is>
          <t>0000320187-25-000047</t>
        </is>
      </c>
      <c r="I83" s="10" t="inlineStr">
        <is>
          <t>2025-07-17</t>
        </is>
      </c>
    </row>
    <row r="84">
      <c r="B84" s="10" t="inlineStr">
        <is>
          <t>Dividends paid</t>
        </is>
      </c>
      <c r="C84" s="17" t="n">
        <v>2024</v>
      </c>
      <c r="D84" s="10" t="inlineStr">
        <is>
          <t>2024-05-31</t>
        </is>
      </c>
      <c r="E84" s="63" t="n">
        <v>2169</v>
      </c>
      <c r="F84" s="10" t="inlineStr">
        <is>
          <t>PaymentsOfDividendsCommonStock</t>
        </is>
      </c>
      <c r="G84" s="10" t="inlineStr">
        <is>
          <t>10-K</t>
        </is>
      </c>
      <c r="H84" s="64" t="inlineStr">
        <is>
          <t>0000320187-26-000088</t>
        </is>
      </c>
      <c r="I84" s="10" t="inlineStr">
        <is>
          <t>2026-07-15</t>
        </is>
      </c>
    </row>
    <row r="85">
      <c r="B85" s="10" t="inlineStr">
        <is>
          <t>Dividends paid</t>
        </is>
      </c>
      <c r="C85" s="17" t="n">
        <v>2025</v>
      </c>
      <c r="D85" s="10" t="inlineStr">
        <is>
          <t>2025-05-31</t>
        </is>
      </c>
      <c r="E85" s="63" t="n">
        <v>2300</v>
      </c>
      <c r="F85" s="10" t="inlineStr">
        <is>
          <t>PaymentsOfDividendsCommonStock</t>
        </is>
      </c>
      <c r="G85" s="10" t="inlineStr">
        <is>
          <t>10-K</t>
        </is>
      </c>
      <c r="H85" s="64" t="inlineStr">
        <is>
          <t>0000320187-26-000088</t>
        </is>
      </c>
      <c r="I85" s="10" t="inlineStr">
        <is>
          <t>2026-07-15</t>
        </is>
      </c>
    </row>
    <row r="86">
      <c r="B86" s="10" t="inlineStr">
        <is>
          <t>Dividends paid</t>
        </is>
      </c>
      <c r="C86" s="17" t="n">
        <v>2026</v>
      </c>
      <c r="D86" s="10" t="inlineStr">
        <is>
          <t>2026-05-31</t>
        </is>
      </c>
      <c r="E86" s="63" t="n">
        <v>2407</v>
      </c>
      <c r="F86" s="10" t="inlineStr">
        <is>
          <t>PaymentsOfDividendsCommonStock</t>
        </is>
      </c>
      <c r="G86" s="10" t="inlineStr">
        <is>
          <t>10-K</t>
        </is>
      </c>
      <c r="H86" s="64" t="inlineStr">
        <is>
          <t>0000320187-26-000088</t>
        </is>
      </c>
      <c r="I86" s="10" t="inlineStr">
        <is>
          <t>2026-07-15</t>
        </is>
      </c>
    </row>
    <row r="87">
      <c r="B87" s="10" t="inlineStr">
        <is>
          <t>Diluted EPS</t>
        </is>
      </c>
      <c r="C87" s="17" t="n">
        <v>2019</v>
      </c>
      <c r="D87" s="10" t="inlineStr">
        <is>
          <t>2019-05-31</t>
        </is>
      </c>
      <c r="E87" s="63" t="n">
        <v>2.49</v>
      </c>
      <c r="F87" s="10" t="inlineStr">
        <is>
          <t>EarningsPerShareDiluted</t>
        </is>
      </c>
      <c r="G87" s="10" t="inlineStr">
        <is>
          <t>10-K</t>
        </is>
      </c>
      <c r="H87" s="64" t="inlineStr">
        <is>
          <t>0000320187-21-000028</t>
        </is>
      </c>
      <c r="I87" s="10" t="inlineStr">
        <is>
          <t>2021-07-20</t>
        </is>
      </c>
    </row>
    <row r="88">
      <c r="B88" s="10" t="inlineStr">
        <is>
          <t>Diluted EPS</t>
        </is>
      </c>
      <c r="C88" s="17" t="n">
        <v>2020</v>
      </c>
      <c r="D88" s="10" t="inlineStr">
        <is>
          <t>2020-05-31</t>
        </is>
      </c>
      <c r="E88" s="63" t="n">
        <v>1.6</v>
      </c>
      <c r="F88" s="10" t="inlineStr">
        <is>
          <t>EarningsPerShareDiluted</t>
        </is>
      </c>
      <c r="G88" s="10" t="inlineStr">
        <is>
          <t>10-K</t>
        </is>
      </c>
      <c r="H88" s="64" t="inlineStr">
        <is>
          <t>0000320187-22-000038</t>
        </is>
      </c>
      <c r="I88" s="10" t="inlineStr">
        <is>
          <t>2022-07-21</t>
        </is>
      </c>
    </row>
    <row r="89">
      <c r="B89" s="10" t="inlineStr">
        <is>
          <t>Diluted EPS</t>
        </is>
      </c>
      <c r="C89" s="17" t="n">
        <v>2021</v>
      </c>
      <c r="D89" s="10" t="inlineStr">
        <is>
          <t>2021-05-31</t>
        </is>
      </c>
      <c r="E89" s="63" t="n">
        <v>3.56</v>
      </c>
      <c r="F89" s="10" t="inlineStr">
        <is>
          <t>EarningsPerShareDiluted</t>
        </is>
      </c>
      <c r="G89" s="10" t="inlineStr">
        <is>
          <t>10-K</t>
        </is>
      </c>
      <c r="H89" s="64" t="inlineStr">
        <is>
          <t>0000320187-23-000039</t>
        </is>
      </c>
      <c r="I89" s="10" t="inlineStr">
        <is>
          <t>2023-07-20</t>
        </is>
      </c>
    </row>
    <row r="90">
      <c r="B90" s="10" t="inlineStr">
        <is>
          <t>Diluted EPS</t>
        </is>
      </c>
      <c r="C90" s="17" t="n">
        <v>2022</v>
      </c>
      <c r="D90" s="10" t="inlineStr">
        <is>
          <t>2022-05-31</t>
        </is>
      </c>
      <c r="E90" s="63" t="n">
        <v>3.75</v>
      </c>
      <c r="F90" s="10" t="inlineStr">
        <is>
          <t>EarningsPerShareDiluted</t>
        </is>
      </c>
      <c r="G90" s="10" t="inlineStr">
        <is>
          <t>10-K</t>
        </is>
      </c>
      <c r="H90" s="64" t="inlineStr">
        <is>
          <t>0000320187-24-000044</t>
        </is>
      </c>
      <c r="I90" s="10" t="inlineStr">
        <is>
          <t>2024-07-25</t>
        </is>
      </c>
    </row>
    <row r="91">
      <c r="B91" s="10" t="inlineStr">
        <is>
          <t>Diluted EPS</t>
        </is>
      </c>
      <c r="C91" s="17" t="n">
        <v>2023</v>
      </c>
      <c r="D91" s="10" t="inlineStr">
        <is>
          <t>2023-05-31</t>
        </is>
      </c>
      <c r="E91" s="63" t="n">
        <v>3.23</v>
      </c>
      <c r="F91" s="10" t="inlineStr">
        <is>
          <t>EarningsPerShareDiluted</t>
        </is>
      </c>
      <c r="G91" s="10" t="inlineStr">
        <is>
          <t>10-K</t>
        </is>
      </c>
      <c r="H91" s="64" t="inlineStr">
        <is>
          <t>0000320187-25-000047</t>
        </is>
      </c>
      <c r="I91" s="10" t="inlineStr">
        <is>
          <t>2025-07-17</t>
        </is>
      </c>
    </row>
    <row r="92">
      <c r="B92" s="10" t="inlineStr">
        <is>
          <t>Diluted EPS</t>
        </is>
      </c>
      <c r="C92" s="17" t="n">
        <v>2024</v>
      </c>
      <c r="D92" s="10" t="inlineStr">
        <is>
          <t>2024-05-31</t>
        </is>
      </c>
      <c r="E92" s="63" t="n">
        <v>3.73</v>
      </c>
      <c r="F92" s="10" t="inlineStr">
        <is>
          <t>EarningsPerShareDiluted</t>
        </is>
      </c>
      <c r="G92" s="10" t="inlineStr">
        <is>
          <t>10-K</t>
        </is>
      </c>
      <c r="H92" s="64" t="inlineStr">
        <is>
          <t>0000320187-26-000088</t>
        </is>
      </c>
      <c r="I92" s="10" t="inlineStr">
        <is>
          <t>2026-07-15</t>
        </is>
      </c>
    </row>
    <row r="93">
      <c r="B93" s="10" t="inlineStr">
        <is>
          <t>Diluted EPS</t>
        </is>
      </c>
      <c r="C93" s="17" t="n">
        <v>2025</v>
      </c>
      <c r="D93" s="10" t="inlineStr">
        <is>
          <t>2025-05-31</t>
        </is>
      </c>
      <c r="E93" s="63" t="n">
        <v>2.16</v>
      </c>
      <c r="F93" s="10" t="inlineStr">
        <is>
          <t>EarningsPerShareDiluted</t>
        </is>
      </c>
      <c r="G93" s="10" t="inlineStr">
        <is>
          <t>10-K</t>
        </is>
      </c>
      <c r="H93" s="64" t="inlineStr">
        <is>
          <t>0000320187-26-000088</t>
        </is>
      </c>
      <c r="I93" s="10" t="inlineStr">
        <is>
          <t>2026-07-15</t>
        </is>
      </c>
    </row>
    <row r="94">
      <c r="B94" s="10" t="inlineStr">
        <is>
          <t>Diluted EPS</t>
        </is>
      </c>
      <c r="C94" s="17" t="n">
        <v>2026</v>
      </c>
      <c r="D94" s="10" t="inlineStr">
        <is>
          <t>2026-05-31</t>
        </is>
      </c>
      <c r="E94" s="63" t="n">
        <v>2.1</v>
      </c>
      <c r="F94" s="10" t="inlineStr">
        <is>
          <t>EarningsPerShareDiluted</t>
        </is>
      </c>
      <c r="G94" s="10" t="inlineStr">
        <is>
          <t>10-K</t>
        </is>
      </c>
      <c r="H94" s="64" t="inlineStr">
        <is>
          <t>0000320187-26-000088</t>
        </is>
      </c>
      <c r="I94" s="10" t="inlineStr">
        <is>
          <t>2026-07-15</t>
        </is>
      </c>
    </row>
    <row r="95">
      <c r="B95" s="10" t="inlineStr">
        <is>
          <t>Shareholders' equity</t>
        </is>
      </c>
      <c r="C95" s="17" t="n">
        <v>2019</v>
      </c>
      <c r="D95" s="10" t="inlineStr">
        <is>
          <t>2019-05-31</t>
        </is>
      </c>
      <c r="E95" s="63" t="n">
        <v>9040</v>
      </c>
      <c r="F95" s="10" t="inlineStr">
        <is>
          <t>StockholdersEquity</t>
        </is>
      </c>
      <c r="G95" s="10" t="inlineStr">
        <is>
          <t>10-K</t>
        </is>
      </c>
      <c r="H95" s="64" t="inlineStr">
        <is>
          <t>0000320187-22-000038</t>
        </is>
      </c>
      <c r="I95" s="10" t="inlineStr">
        <is>
          <t>2022-07-21</t>
        </is>
      </c>
    </row>
    <row r="96">
      <c r="B96" s="10" t="inlineStr">
        <is>
          <t>Shareholders' equity</t>
        </is>
      </c>
      <c r="C96" s="17" t="n">
        <v>2020</v>
      </c>
      <c r="D96" s="10" t="inlineStr">
        <is>
          <t>2020-05-31</t>
        </is>
      </c>
      <c r="E96" s="63" t="n">
        <v>8055</v>
      </c>
      <c r="F96" s="10" t="inlineStr">
        <is>
          <t>StockholdersEquity</t>
        </is>
      </c>
      <c r="G96" s="10" t="inlineStr">
        <is>
          <t>10-K</t>
        </is>
      </c>
      <c r="H96" s="64" t="inlineStr">
        <is>
          <t>0000320187-23-000039</t>
        </is>
      </c>
      <c r="I96" s="10" t="inlineStr">
        <is>
          <t>2023-07-20</t>
        </is>
      </c>
    </row>
    <row r="97">
      <c r="B97" s="10" t="inlineStr">
        <is>
          <t>Shareholders' equity</t>
        </is>
      </c>
      <c r="C97" s="17" t="n">
        <v>2021</v>
      </c>
      <c r="D97" s="10" t="inlineStr">
        <is>
          <t>2021-05-31</t>
        </is>
      </c>
      <c r="E97" s="63" t="n">
        <v>12767</v>
      </c>
      <c r="F97" s="10" t="inlineStr">
        <is>
          <t>StockholdersEquity</t>
        </is>
      </c>
      <c r="G97" s="10" t="inlineStr">
        <is>
          <t>10-K</t>
        </is>
      </c>
      <c r="H97" s="64" t="inlineStr">
        <is>
          <t>0000320187-24-000044</t>
        </is>
      </c>
      <c r="I97" s="10" t="inlineStr">
        <is>
          <t>2024-07-25</t>
        </is>
      </c>
    </row>
    <row r="98">
      <c r="B98" s="10" t="inlineStr">
        <is>
          <t>Shareholders' equity</t>
        </is>
      </c>
      <c r="C98" s="17" t="n">
        <v>2022</v>
      </c>
      <c r="D98" s="10" t="inlineStr">
        <is>
          <t>2022-05-31</t>
        </is>
      </c>
      <c r="E98" s="63" t="n">
        <v>15281</v>
      </c>
      <c r="F98" s="10" t="inlineStr">
        <is>
          <t>StockholdersEquity</t>
        </is>
      </c>
      <c r="G98" s="10" t="inlineStr">
        <is>
          <t>10-K</t>
        </is>
      </c>
      <c r="H98" s="64" t="inlineStr">
        <is>
          <t>0000320187-25-000047</t>
        </is>
      </c>
      <c r="I98" s="10" t="inlineStr">
        <is>
          <t>2025-07-17</t>
        </is>
      </c>
    </row>
    <row r="99">
      <c r="B99" s="10" t="inlineStr">
        <is>
          <t>Shareholders' equity</t>
        </is>
      </c>
      <c r="C99" s="17" t="n">
        <v>2023</v>
      </c>
      <c r="D99" s="10" t="inlineStr">
        <is>
          <t>2023-05-31</t>
        </is>
      </c>
      <c r="E99" s="63" t="n">
        <v>14004</v>
      </c>
      <c r="F99" s="10" t="inlineStr">
        <is>
          <t>StockholdersEquity</t>
        </is>
      </c>
      <c r="G99" s="10" t="inlineStr">
        <is>
          <t>10-K</t>
        </is>
      </c>
      <c r="H99" s="64" t="inlineStr">
        <is>
          <t>0000320187-26-000088</t>
        </is>
      </c>
      <c r="I99" s="10" t="inlineStr">
        <is>
          <t>2026-07-15</t>
        </is>
      </c>
    </row>
    <row r="100">
      <c r="B100" s="10" t="inlineStr">
        <is>
          <t>Shareholders' equity</t>
        </is>
      </c>
      <c r="C100" s="17" t="n">
        <v>2024</v>
      </c>
      <c r="D100" s="10" t="inlineStr">
        <is>
          <t>2024-05-31</t>
        </is>
      </c>
      <c r="E100" s="63" t="n">
        <v>14430</v>
      </c>
      <c r="F100" s="10" t="inlineStr">
        <is>
          <t>StockholdersEquity</t>
        </is>
      </c>
      <c r="G100" s="10" t="inlineStr">
        <is>
          <t>10-K</t>
        </is>
      </c>
      <c r="H100" s="64" t="inlineStr">
        <is>
          <t>0000320187-26-000088</t>
        </is>
      </c>
      <c r="I100" s="10" t="inlineStr">
        <is>
          <t>2026-07-15</t>
        </is>
      </c>
    </row>
    <row r="101">
      <c r="B101" s="10" t="inlineStr">
        <is>
          <t>Shareholders' equity</t>
        </is>
      </c>
      <c r="C101" s="17" t="n">
        <v>2025</v>
      </c>
      <c r="D101" s="10" t="inlineStr">
        <is>
          <t>2025-05-31</t>
        </is>
      </c>
      <c r="E101" s="63" t="n">
        <v>13213</v>
      </c>
      <c r="F101" s="10" t="inlineStr">
        <is>
          <t>StockholdersEquity</t>
        </is>
      </c>
      <c r="G101" s="10" t="inlineStr">
        <is>
          <t>10-K</t>
        </is>
      </c>
      <c r="H101" s="64" t="inlineStr">
        <is>
          <t>0000320187-26-000088</t>
        </is>
      </c>
      <c r="I101" s="10" t="inlineStr">
        <is>
          <t>2026-07-15</t>
        </is>
      </c>
    </row>
    <row r="102">
      <c r="B102" s="10" t="inlineStr">
        <is>
          <t>Shareholders' equity</t>
        </is>
      </c>
      <c r="C102" s="17" t="n">
        <v>2026</v>
      </c>
      <c r="D102" s="10" t="inlineStr">
        <is>
          <t>2026-05-31</t>
        </is>
      </c>
      <c r="E102" s="63" t="n">
        <v>14865</v>
      </c>
      <c r="F102" s="10" t="inlineStr">
        <is>
          <t>StockholdersEquity</t>
        </is>
      </c>
      <c r="G102" s="10" t="inlineStr">
        <is>
          <t>10-K</t>
        </is>
      </c>
      <c r="H102" s="64" t="inlineStr">
        <is>
          <t>0000320187-26-000088</t>
        </is>
      </c>
      <c r="I102" s="10" t="inlineStr">
        <is>
          <t>2026-07-15</t>
        </is>
      </c>
    </row>
    <row r="103">
      <c r="B103" s="10" t="inlineStr">
        <is>
          <t>Goodwill</t>
        </is>
      </c>
      <c r="C103" s="17" t="n">
        <v>2019</v>
      </c>
      <c r="D103" s="10" t="inlineStr">
        <is>
          <t>2019-05-31</t>
        </is>
      </c>
      <c r="E103" s="63" t="n">
        <v>154</v>
      </c>
      <c r="F103" s="10" t="inlineStr">
        <is>
          <t>Goodwill</t>
        </is>
      </c>
      <c r="G103" s="10" t="inlineStr">
        <is>
          <t>10-K</t>
        </is>
      </c>
      <c r="H103" s="64" t="inlineStr">
        <is>
          <t>0000320187-20-000047</t>
        </is>
      </c>
      <c r="I103" s="10" t="inlineStr">
        <is>
          <t>2020-07-24</t>
        </is>
      </c>
    </row>
    <row r="104">
      <c r="B104" s="10" t="inlineStr">
        <is>
          <t>Goodwill</t>
        </is>
      </c>
      <c r="C104" s="17" t="n">
        <v>2020</v>
      </c>
      <c r="D104" s="10" t="inlineStr">
        <is>
          <t>2020-05-31</t>
        </is>
      </c>
      <c r="E104" s="63" t="n">
        <v>223</v>
      </c>
      <c r="F104" s="10" t="inlineStr">
        <is>
          <t>Goodwill</t>
        </is>
      </c>
      <c r="G104" s="10" t="inlineStr">
        <is>
          <t>10-K</t>
        </is>
      </c>
      <c r="H104" s="64" t="inlineStr">
        <is>
          <t>0000320187-21-000028</t>
        </is>
      </c>
      <c r="I104" s="10" t="inlineStr">
        <is>
          <t>2021-07-20</t>
        </is>
      </c>
    </row>
    <row r="105">
      <c r="B105" s="10" t="inlineStr">
        <is>
          <t>Goodwill</t>
        </is>
      </c>
      <c r="C105" s="17" t="n">
        <v>2021</v>
      </c>
      <c r="D105" s="10" t="inlineStr">
        <is>
          <t>2021-05-31</t>
        </is>
      </c>
      <c r="E105" s="63" t="n">
        <v>242</v>
      </c>
      <c r="F105" s="10" t="inlineStr">
        <is>
          <t>Goodwill</t>
        </is>
      </c>
      <c r="G105" s="10" t="inlineStr">
        <is>
          <t>10-K</t>
        </is>
      </c>
      <c r="H105" s="64" t="inlineStr">
        <is>
          <t>0000320187-22-000038</t>
        </is>
      </c>
      <c r="I105" s="10" t="inlineStr">
        <is>
          <t>2022-07-21</t>
        </is>
      </c>
    </row>
    <row r="106">
      <c r="B106" s="10" t="inlineStr">
        <is>
          <t>Goodwill</t>
        </is>
      </c>
      <c r="C106" s="17" t="n">
        <v>2022</v>
      </c>
      <c r="D106" s="10" t="inlineStr">
        <is>
          <t>2022-05-31</t>
        </is>
      </c>
      <c r="E106" s="63" t="n">
        <v>284</v>
      </c>
      <c r="F106" s="10" t="inlineStr">
        <is>
          <t>Goodwill</t>
        </is>
      </c>
      <c r="G106" s="10" t="inlineStr">
        <is>
          <t>10-K</t>
        </is>
      </c>
      <c r="H106" s="64" t="inlineStr">
        <is>
          <t>0000320187-23-000039</t>
        </is>
      </c>
      <c r="I106" s="10" t="inlineStr">
        <is>
          <t>2023-07-20</t>
        </is>
      </c>
    </row>
    <row r="107">
      <c r="B107" s="10" t="inlineStr">
        <is>
          <t>Goodwill</t>
        </is>
      </c>
      <c r="C107" s="17" t="n">
        <v>2023</v>
      </c>
      <c r="D107" s="10" t="inlineStr">
        <is>
          <t>2023-05-31</t>
        </is>
      </c>
      <c r="E107" s="63" t="n">
        <v>281</v>
      </c>
      <c r="F107" s="10" t="inlineStr">
        <is>
          <t>Goodwill</t>
        </is>
      </c>
      <c r="G107" s="10" t="inlineStr">
        <is>
          <t>10-K</t>
        </is>
      </c>
      <c r="H107" s="64" t="inlineStr">
        <is>
          <t>0000320187-24-000044</t>
        </is>
      </c>
      <c r="I107" s="10" t="inlineStr">
        <is>
          <t>2024-07-25</t>
        </is>
      </c>
    </row>
    <row r="108">
      <c r="B108" s="10" t="inlineStr">
        <is>
          <t>Goodwill</t>
        </is>
      </c>
      <c r="C108" s="17" t="n">
        <v>2024</v>
      </c>
      <c r="D108" s="10" t="inlineStr">
        <is>
          <t>2024-05-31</t>
        </is>
      </c>
      <c r="E108" s="63" t="n">
        <v>240</v>
      </c>
      <c r="F108" s="10" t="inlineStr">
        <is>
          <t>Goodwill</t>
        </is>
      </c>
      <c r="G108" s="10" t="inlineStr">
        <is>
          <t>10-K</t>
        </is>
      </c>
      <c r="H108" s="64" t="inlineStr">
        <is>
          <t>0000320187-25-000047</t>
        </is>
      </c>
      <c r="I108" s="10" t="inlineStr">
        <is>
          <t>2025-07-17</t>
        </is>
      </c>
    </row>
    <row r="109">
      <c r="B109" s="10" t="inlineStr">
        <is>
          <t>Goodwill</t>
        </is>
      </c>
      <c r="C109" s="17" t="n">
        <v>2025</v>
      </c>
      <c r="D109" s="10" t="inlineStr">
        <is>
          <t>2025-05-31</t>
        </is>
      </c>
      <c r="E109" s="63" t="n">
        <v>240</v>
      </c>
      <c r="F109" s="10" t="inlineStr">
        <is>
          <t>Goodwill</t>
        </is>
      </c>
      <c r="G109" s="10" t="inlineStr">
        <is>
          <t>10-K</t>
        </is>
      </c>
      <c r="H109" s="64" t="inlineStr">
        <is>
          <t>0000320187-26-000088</t>
        </is>
      </c>
      <c r="I109" s="10" t="inlineStr">
        <is>
          <t>2026-07-15</t>
        </is>
      </c>
    </row>
    <row r="110">
      <c r="B110" s="10" t="inlineStr">
        <is>
          <t>Goodwill</t>
        </is>
      </c>
      <c r="C110" s="17" t="n">
        <v>2026</v>
      </c>
      <c r="D110" s="10" t="inlineStr">
        <is>
          <t>2026-05-31</t>
        </is>
      </c>
      <c r="E110" s="63" t="n">
        <v>240</v>
      </c>
      <c r="F110" s="10" t="inlineStr">
        <is>
          <t>Goodwill</t>
        </is>
      </c>
      <c r="G110" s="10" t="inlineStr">
        <is>
          <t>10-K</t>
        </is>
      </c>
      <c r="H110" s="64" t="inlineStr">
        <is>
          <t>0000320187-26-000088</t>
        </is>
      </c>
      <c r="I110" s="10" t="inlineStr">
        <is>
          <t>2026-07-15</t>
        </is>
      </c>
    </row>
    <row r="111">
      <c r="B111" s="10" t="inlineStr">
        <is>
          <t>Gross profit</t>
        </is>
      </c>
      <c r="C111" s="17" t="n">
        <v>2019</v>
      </c>
      <c r="D111" s="10" t="inlineStr">
        <is>
          <t>2019-05-31</t>
        </is>
      </c>
      <c r="E111" s="63" t="n">
        <v>17474</v>
      </c>
      <c r="F111" s="10" t="inlineStr">
        <is>
          <t>GrossProfit</t>
        </is>
      </c>
      <c r="G111" s="10" t="inlineStr">
        <is>
          <t>10-K</t>
        </is>
      </c>
      <c r="H111" s="64" t="inlineStr">
        <is>
          <t>0000320187-21-000028</t>
        </is>
      </c>
      <c r="I111" s="10" t="inlineStr">
        <is>
          <t>2021-07-20</t>
        </is>
      </c>
    </row>
    <row r="112">
      <c r="B112" s="10" t="inlineStr">
        <is>
          <t>Gross profit</t>
        </is>
      </c>
      <c r="C112" s="17" t="n">
        <v>2020</v>
      </c>
      <c r="D112" s="10" t="inlineStr">
        <is>
          <t>2020-05-31</t>
        </is>
      </c>
      <c r="E112" s="63" t="n">
        <v>16241</v>
      </c>
      <c r="F112" s="10" t="inlineStr">
        <is>
          <t>GrossProfit</t>
        </is>
      </c>
      <c r="G112" s="10" t="inlineStr">
        <is>
          <t>10-K</t>
        </is>
      </c>
      <c r="H112" s="64" t="inlineStr">
        <is>
          <t>0000320187-22-000038</t>
        </is>
      </c>
      <c r="I112" s="10" t="inlineStr">
        <is>
          <t>2022-07-21</t>
        </is>
      </c>
    </row>
    <row r="113">
      <c r="B113" s="10" t="inlineStr">
        <is>
          <t>Gross profit</t>
        </is>
      </c>
      <c r="C113" s="17" t="n">
        <v>2021</v>
      </c>
      <c r="D113" s="10" t="inlineStr">
        <is>
          <t>2021-05-31</t>
        </is>
      </c>
      <c r="E113" s="63" t="n">
        <v>19962</v>
      </c>
      <c r="F113" s="10" t="inlineStr">
        <is>
          <t>GrossProfit</t>
        </is>
      </c>
      <c r="G113" s="10" t="inlineStr">
        <is>
          <t>10-K</t>
        </is>
      </c>
      <c r="H113" s="64" t="inlineStr">
        <is>
          <t>0000320187-23-000039</t>
        </is>
      </c>
      <c r="I113" s="10" t="inlineStr">
        <is>
          <t>2023-07-20</t>
        </is>
      </c>
    </row>
    <row r="114">
      <c r="B114" s="10" t="inlineStr">
        <is>
          <t>Gross profit</t>
        </is>
      </c>
      <c r="C114" s="17" t="n">
        <v>2022</v>
      </c>
      <c r="D114" s="10" t="inlineStr">
        <is>
          <t>2022-05-31</t>
        </is>
      </c>
      <c r="E114" s="63" t="n">
        <v>21479</v>
      </c>
      <c r="F114" s="10" t="inlineStr">
        <is>
          <t>GrossProfit</t>
        </is>
      </c>
      <c r="G114" s="10" t="inlineStr">
        <is>
          <t>10-K</t>
        </is>
      </c>
      <c r="H114" s="64" t="inlineStr">
        <is>
          <t>0000320187-24-000044</t>
        </is>
      </c>
      <c r="I114" s="10" t="inlineStr">
        <is>
          <t>2024-07-25</t>
        </is>
      </c>
    </row>
    <row r="115">
      <c r="B115" s="10" t="inlineStr">
        <is>
          <t>Gross profit</t>
        </is>
      </c>
      <c r="C115" s="17" t="n">
        <v>2023</v>
      </c>
      <c r="D115" s="10" t="inlineStr">
        <is>
          <t>2023-05-31</t>
        </is>
      </c>
      <c r="E115" s="63" t="n">
        <v>22292</v>
      </c>
      <c r="F115" s="10" t="inlineStr">
        <is>
          <t>GrossProfit</t>
        </is>
      </c>
      <c r="G115" s="10" t="inlineStr">
        <is>
          <t>10-K</t>
        </is>
      </c>
      <c r="H115" s="64" t="inlineStr">
        <is>
          <t>0000320187-25-000047</t>
        </is>
      </c>
      <c r="I115" s="10" t="inlineStr">
        <is>
          <t>2025-07-17</t>
        </is>
      </c>
    </row>
    <row r="116">
      <c r="B116" s="10" t="inlineStr">
        <is>
          <t>Gross profit</t>
        </is>
      </c>
      <c r="C116" s="17" t="n">
        <v>2024</v>
      </c>
      <c r="D116" s="10" t="inlineStr">
        <is>
          <t>2024-05-31</t>
        </is>
      </c>
      <c r="E116" s="63" t="n">
        <v>22887</v>
      </c>
      <c r="F116" s="10" t="inlineStr">
        <is>
          <t>GrossProfit</t>
        </is>
      </c>
      <c r="G116" s="10" t="inlineStr">
        <is>
          <t>10-K</t>
        </is>
      </c>
      <c r="H116" s="64" t="inlineStr">
        <is>
          <t>0000320187-26-000088</t>
        </is>
      </c>
      <c r="I116" s="10" t="inlineStr">
        <is>
          <t>2026-07-15</t>
        </is>
      </c>
    </row>
    <row r="117">
      <c r="B117" s="10" t="inlineStr">
        <is>
          <t>Gross profit</t>
        </is>
      </c>
      <c r="C117" s="17" t="n">
        <v>2025</v>
      </c>
      <c r="D117" s="10" t="inlineStr">
        <is>
          <t>2025-05-31</t>
        </is>
      </c>
      <c r="E117" s="63" t="n">
        <v>19790</v>
      </c>
      <c r="F117" s="10" t="inlineStr">
        <is>
          <t>GrossProfit</t>
        </is>
      </c>
      <c r="G117" s="10" t="inlineStr">
        <is>
          <t>10-K</t>
        </is>
      </c>
      <c r="H117" s="64" t="inlineStr">
        <is>
          <t>0000320187-26-000088</t>
        </is>
      </c>
      <c r="I117" s="10" t="inlineStr">
        <is>
          <t>2026-07-15</t>
        </is>
      </c>
    </row>
    <row r="118">
      <c r="B118" s="10" t="inlineStr">
        <is>
          <t>Gross profit</t>
        </is>
      </c>
      <c r="C118" s="17" t="n">
        <v>2026</v>
      </c>
      <c r="D118" s="10" t="inlineStr">
        <is>
          <t>2026-05-31</t>
        </is>
      </c>
      <c r="E118" s="63" t="n">
        <v>19911</v>
      </c>
      <c r="F118" s="10" t="inlineStr">
        <is>
          <t>GrossProfit</t>
        </is>
      </c>
      <c r="G118" s="10" t="inlineStr">
        <is>
          <t>10-K</t>
        </is>
      </c>
      <c r="H118" s="64" t="inlineStr">
        <is>
          <t>0000320187-26-000088</t>
        </is>
      </c>
      <c r="I118" s="10" t="inlineStr">
        <is>
          <t>2026-07-15</t>
        </is>
      </c>
    </row>
    <row r="119">
      <c r="B119" s="10" t="inlineStr">
        <is>
          <t>Income tax</t>
        </is>
      </c>
      <c r="C119" s="17" t="n">
        <v>2019</v>
      </c>
      <c r="D119" s="10" t="inlineStr">
        <is>
          <t>2019-05-31</t>
        </is>
      </c>
      <c r="E119" s="63" t="n">
        <v>772</v>
      </c>
      <c r="F119" s="10" t="inlineStr">
        <is>
          <t>IncomeTaxExpenseBenefit</t>
        </is>
      </c>
      <c r="G119" s="10" t="inlineStr">
        <is>
          <t>10-K</t>
        </is>
      </c>
      <c r="H119" s="64" t="inlineStr">
        <is>
          <t>0000320187-21-000028</t>
        </is>
      </c>
      <c r="I119" s="10" t="inlineStr">
        <is>
          <t>2021-07-20</t>
        </is>
      </c>
    </row>
    <row r="120">
      <c r="B120" s="10" t="inlineStr">
        <is>
          <t>Income tax</t>
        </is>
      </c>
      <c r="C120" s="17" t="n">
        <v>2020</v>
      </c>
      <c r="D120" s="10" t="inlineStr">
        <is>
          <t>2020-05-31</t>
        </is>
      </c>
      <c r="E120" s="63" t="n">
        <v>348</v>
      </c>
      <c r="F120" s="10" t="inlineStr">
        <is>
          <t>IncomeTaxExpenseBenefit</t>
        </is>
      </c>
      <c r="G120" s="10" t="inlineStr">
        <is>
          <t>10-K</t>
        </is>
      </c>
      <c r="H120" s="64" t="inlineStr">
        <is>
          <t>0000320187-22-000038</t>
        </is>
      </c>
      <c r="I120" s="10" t="inlineStr">
        <is>
          <t>2022-07-21</t>
        </is>
      </c>
    </row>
    <row r="121">
      <c r="B121" s="10" t="inlineStr">
        <is>
          <t>Income tax</t>
        </is>
      </c>
      <c r="C121" s="17" t="n">
        <v>2021</v>
      </c>
      <c r="D121" s="10" t="inlineStr">
        <is>
          <t>2021-05-31</t>
        </is>
      </c>
      <c r="E121" s="63" t="n">
        <v>934</v>
      </c>
      <c r="F121" s="10" t="inlineStr">
        <is>
          <t>IncomeTaxExpenseBenefit</t>
        </is>
      </c>
      <c r="G121" s="10" t="inlineStr">
        <is>
          <t>10-K</t>
        </is>
      </c>
      <c r="H121" s="64" t="inlineStr">
        <is>
          <t>0000320187-23-000039</t>
        </is>
      </c>
      <c r="I121" s="10" t="inlineStr">
        <is>
          <t>2023-07-20</t>
        </is>
      </c>
    </row>
    <row r="122">
      <c r="B122" s="10" t="inlineStr">
        <is>
          <t>Income tax</t>
        </is>
      </c>
      <c r="C122" s="17" t="n">
        <v>2022</v>
      </c>
      <c r="D122" s="10" t="inlineStr">
        <is>
          <t>2022-05-31</t>
        </is>
      </c>
      <c r="E122" s="63" t="n">
        <v>605</v>
      </c>
      <c r="F122" s="10" t="inlineStr">
        <is>
          <t>IncomeTaxExpenseBenefit</t>
        </is>
      </c>
      <c r="G122" s="10" t="inlineStr">
        <is>
          <t>10-K</t>
        </is>
      </c>
      <c r="H122" s="64" t="inlineStr">
        <is>
          <t>0000320187-24-000044</t>
        </is>
      </c>
      <c r="I122" s="10" t="inlineStr">
        <is>
          <t>2024-07-25</t>
        </is>
      </c>
    </row>
    <row r="123">
      <c r="B123" s="10" t="inlineStr">
        <is>
          <t>Income tax</t>
        </is>
      </c>
      <c r="C123" s="17" t="n">
        <v>2023</v>
      </c>
      <c r="D123" s="10" t="inlineStr">
        <is>
          <t>2023-05-31</t>
        </is>
      </c>
      <c r="E123" s="63" t="n">
        <v>1131</v>
      </c>
      <c r="F123" s="10" t="inlineStr">
        <is>
          <t>IncomeTaxExpenseBenefit</t>
        </is>
      </c>
      <c r="G123" s="10" t="inlineStr">
        <is>
          <t>10-K</t>
        </is>
      </c>
      <c r="H123" s="64" t="inlineStr">
        <is>
          <t>0000320187-25-000047</t>
        </is>
      </c>
      <c r="I123" s="10" t="inlineStr">
        <is>
          <t>2025-07-17</t>
        </is>
      </c>
    </row>
    <row r="124">
      <c r="B124" s="10" t="inlineStr">
        <is>
          <t>Income tax</t>
        </is>
      </c>
      <c r="C124" s="17" t="n">
        <v>2024</v>
      </c>
      <c r="D124" s="10" t="inlineStr">
        <is>
          <t>2024-05-31</t>
        </is>
      </c>
      <c r="E124" s="63" t="n">
        <v>1000</v>
      </c>
      <c r="F124" s="10" t="inlineStr">
        <is>
          <t>IncomeTaxExpenseBenefit</t>
        </is>
      </c>
      <c r="G124" s="10" t="inlineStr">
        <is>
          <t>10-K</t>
        </is>
      </c>
      <c r="H124" s="64" t="inlineStr">
        <is>
          <t>0000320187-26-000088</t>
        </is>
      </c>
      <c r="I124" s="10" t="inlineStr">
        <is>
          <t>2026-07-15</t>
        </is>
      </c>
    </row>
    <row r="125">
      <c r="B125" s="10" t="inlineStr">
        <is>
          <t>Income tax</t>
        </is>
      </c>
      <c r="C125" s="17" t="n">
        <v>2025</v>
      </c>
      <c r="D125" s="10" t="inlineStr">
        <is>
          <t>2025-05-31</t>
        </is>
      </c>
      <c r="E125" s="63" t="n">
        <v>666</v>
      </c>
      <c r="F125" s="10" t="inlineStr">
        <is>
          <t>IncomeTaxExpenseBenefit</t>
        </is>
      </c>
      <c r="G125" s="10" t="inlineStr">
        <is>
          <t>10-K</t>
        </is>
      </c>
      <c r="H125" s="64" t="inlineStr">
        <is>
          <t>0000320187-26-000088</t>
        </is>
      </c>
      <c r="I125" s="10" t="inlineStr">
        <is>
          <t>2026-07-15</t>
        </is>
      </c>
    </row>
    <row r="126">
      <c r="B126" s="10" t="inlineStr">
        <is>
          <t>Income tax</t>
        </is>
      </c>
      <c r="C126" s="17" t="n">
        <v>2026</v>
      </c>
      <c r="D126" s="10" t="inlineStr">
        <is>
          <t>2026-05-31</t>
        </is>
      </c>
      <c r="E126" s="63" t="n">
        <v>792</v>
      </c>
      <c r="F126" s="10" t="inlineStr">
        <is>
          <t>IncomeTaxExpenseBenefit</t>
        </is>
      </c>
      <c r="G126" s="10" t="inlineStr">
        <is>
          <t>10-K</t>
        </is>
      </c>
      <c r="H126" s="64" t="inlineStr">
        <is>
          <t>0000320187-26-000088</t>
        </is>
      </c>
      <c r="I126" s="10" t="inlineStr">
        <is>
          <t>2026-07-15</t>
        </is>
      </c>
    </row>
    <row r="127">
      <c r="B127" s="10" t="inlineStr">
        <is>
          <t>Interest expense</t>
        </is>
      </c>
      <c r="C127" s="17" t="n">
        <v>2019</v>
      </c>
      <c r="D127" s="10" t="inlineStr">
        <is>
          <t>2019-05-31</t>
        </is>
      </c>
      <c r="E127" s="63" t="n">
        <v>153</v>
      </c>
      <c r="F127" s="10" t="inlineStr">
        <is>
          <t>InterestPaidNet</t>
        </is>
      </c>
      <c r="G127" s="10" t="inlineStr">
        <is>
          <t>10-K</t>
        </is>
      </c>
      <c r="H127" s="64" t="inlineStr">
        <is>
          <t>0000320187-21-000028</t>
        </is>
      </c>
      <c r="I127" s="10" t="inlineStr">
        <is>
          <t>2021-07-20</t>
        </is>
      </c>
    </row>
    <row r="128">
      <c r="B128" s="10" t="inlineStr">
        <is>
          <t>Interest expense</t>
        </is>
      </c>
      <c r="C128" s="17" t="n">
        <v>2020</v>
      </c>
      <c r="D128" s="10" t="inlineStr">
        <is>
          <t>2020-05-31</t>
        </is>
      </c>
      <c r="E128" s="63" t="n">
        <v>140</v>
      </c>
      <c r="F128" s="10" t="inlineStr">
        <is>
          <t>InterestPaidNet</t>
        </is>
      </c>
      <c r="G128" s="10" t="inlineStr">
        <is>
          <t>10-K</t>
        </is>
      </c>
      <c r="H128" s="64" t="inlineStr">
        <is>
          <t>0000320187-22-000038</t>
        </is>
      </c>
      <c r="I128" s="10" t="inlineStr">
        <is>
          <t>2022-07-21</t>
        </is>
      </c>
    </row>
    <row r="129">
      <c r="B129" s="10" t="inlineStr">
        <is>
          <t>Interest expense</t>
        </is>
      </c>
      <c r="C129" s="17" t="n">
        <v>2021</v>
      </c>
      <c r="D129" s="10" t="inlineStr">
        <is>
          <t>2021-05-31</t>
        </is>
      </c>
      <c r="E129" s="63" t="n">
        <v>293</v>
      </c>
      <c r="F129" s="10" t="inlineStr">
        <is>
          <t>InterestPaidNet</t>
        </is>
      </c>
      <c r="G129" s="10" t="inlineStr">
        <is>
          <t>10-K</t>
        </is>
      </c>
      <c r="H129" s="64" t="inlineStr">
        <is>
          <t>0000320187-23-000039</t>
        </is>
      </c>
      <c r="I129" s="10" t="inlineStr">
        <is>
          <t>2023-07-20</t>
        </is>
      </c>
    </row>
    <row r="130">
      <c r="B130" s="10" t="inlineStr">
        <is>
          <t>Interest expense</t>
        </is>
      </c>
      <c r="C130" s="17" t="n">
        <v>2022</v>
      </c>
      <c r="D130" s="10" t="inlineStr">
        <is>
          <t>2022-05-31</t>
        </is>
      </c>
      <c r="E130" s="63" t="n">
        <v>290</v>
      </c>
      <c r="F130" s="10" t="inlineStr">
        <is>
          <t>InterestPaidNet</t>
        </is>
      </c>
      <c r="G130" s="10" t="inlineStr">
        <is>
          <t>10-K</t>
        </is>
      </c>
      <c r="H130" s="64" t="inlineStr">
        <is>
          <t>0000320187-24-000044</t>
        </is>
      </c>
      <c r="I130" s="10" t="inlineStr">
        <is>
          <t>2024-07-25</t>
        </is>
      </c>
    </row>
    <row r="131">
      <c r="B131" s="10" t="inlineStr">
        <is>
          <t>Interest expense</t>
        </is>
      </c>
      <c r="C131" s="17" t="n">
        <v>2023</v>
      </c>
      <c r="D131" s="10" t="inlineStr">
        <is>
          <t>2023-05-31</t>
        </is>
      </c>
      <c r="E131" s="63" t="n">
        <v>347</v>
      </c>
      <c r="F131" s="10" t="inlineStr">
        <is>
          <t>InterestPaidNet</t>
        </is>
      </c>
      <c r="G131" s="10" t="inlineStr">
        <is>
          <t>10-K</t>
        </is>
      </c>
      <c r="H131" s="64" t="inlineStr">
        <is>
          <t>0000320187-25-000047</t>
        </is>
      </c>
      <c r="I131" s="10" t="inlineStr">
        <is>
          <t>2025-07-17</t>
        </is>
      </c>
    </row>
    <row r="132">
      <c r="B132" s="10" t="inlineStr">
        <is>
          <t>Interest expense</t>
        </is>
      </c>
      <c r="C132" s="17" t="n">
        <v>2024</v>
      </c>
      <c r="D132" s="10" t="inlineStr">
        <is>
          <t>2024-05-31</t>
        </is>
      </c>
      <c r="E132" s="63" t="n">
        <v>381</v>
      </c>
      <c r="F132" s="10" t="inlineStr">
        <is>
          <t>InterestPaidNet</t>
        </is>
      </c>
      <c r="G132" s="10" t="inlineStr">
        <is>
          <t>10-K</t>
        </is>
      </c>
      <c r="H132" s="64" t="inlineStr">
        <is>
          <t>0000320187-26-000088</t>
        </is>
      </c>
      <c r="I132" s="10" t="inlineStr">
        <is>
          <t>2026-07-15</t>
        </is>
      </c>
    </row>
    <row r="133">
      <c r="B133" s="10" t="inlineStr">
        <is>
          <t>Interest expense</t>
        </is>
      </c>
      <c r="C133" s="17" t="n">
        <v>2025</v>
      </c>
      <c r="D133" s="10" t="inlineStr">
        <is>
          <t>2025-05-31</t>
        </is>
      </c>
      <c r="E133" s="63" t="n">
        <v>389</v>
      </c>
      <c r="F133" s="10" t="inlineStr">
        <is>
          <t>InterestPaidNet</t>
        </is>
      </c>
      <c r="G133" s="10" t="inlineStr">
        <is>
          <t>10-K</t>
        </is>
      </c>
      <c r="H133" s="64" t="inlineStr">
        <is>
          <t>0000320187-26-000088</t>
        </is>
      </c>
      <c r="I133" s="10" t="inlineStr">
        <is>
          <t>2026-07-15</t>
        </is>
      </c>
    </row>
    <row r="134">
      <c r="B134" s="10" t="inlineStr">
        <is>
          <t>Interest expense</t>
        </is>
      </c>
      <c r="C134" s="17" t="n">
        <v>2026</v>
      </c>
      <c r="D134" s="10" t="inlineStr">
        <is>
          <t>2026-05-31</t>
        </is>
      </c>
      <c r="E134" s="63" t="n">
        <v>323</v>
      </c>
      <c r="F134" s="10" t="inlineStr">
        <is>
          <t>InterestPaidNet</t>
        </is>
      </c>
      <c r="G134" s="10" t="inlineStr">
        <is>
          <t>10-K</t>
        </is>
      </c>
      <c r="H134" s="64" t="inlineStr">
        <is>
          <t>0000320187-26-000088</t>
        </is>
      </c>
      <c r="I134" s="10" t="inlineStr">
        <is>
          <t>2026-07-15</t>
        </is>
      </c>
    </row>
    <row r="135">
      <c r="B135" s="10" t="inlineStr">
        <is>
          <t>Inventory</t>
        </is>
      </c>
      <c r="C135" s="17" t="n">
        <v>2019</v>
      </c>
      <c r="D135" s="10" t="inlineStr">
        <is>
          <t>2019-05-31</t>
        </is>
      </c>
      <c r="E135" s="63" t="n">
        <v>5622</v>
      </c>
      <c r="F135" s="10" t="inlineStr">
        <is>
          <t>InventoryFinishedGoodsNetOfReserves</t>
        </is>
      </c>
      <c r="G135" s="10" t="inlineStr">
        <is>
          <t>10-K</t>
        </is>
      </c>
      <c r="H135" s="64" t="inlineStr">
        <is>
          <t>0000320187-20-000047</t>
        </is>
      </c>
      <c r="I135" s="10" t="inlineStr">
        <is>
          <t>2020-07-24</t>
        </is>
      </c>
    </row>
    <row r="136">
      <c r="B136" s="10" t="inlineStr">
        <is>
          <t>Inventory</t>
        </is>
      </c>
      <c r="C136" s="17" t="n">
        <v>2020</v>
      </c>
      <c r="D136" s="10" t="inlineStr">
        <is>
          <t>2020-05-31</t>
        </is>
      </c>
      <c r="E136" s="63" t="n">
        <v>7367</v>
      </c>
      <c r="F136" s="10" t="inlineStr">
        <is>
          <t>InventoryFinishedGoodsNetOfReserves</t>
        </is>
      </c>
      <c r="G136" s="10" t="inlineStr">
        <is>
          <t>10-K</t>
        </is>
      </c>
      <c r="H136" s="64" t="inlineStr">
        <is>
          <t>0000320187-21-000028</t>
        </is>
      </c>
      <c r="I136" s="10" t="inlineStr">
        <is>
          <t>2021-07-20</t>
        </is>
      </c>
    </row>
    <row r="137">
      <c r="B137" s="10" t="inlineStr">
        <is>
          <t>Inventory</t>
        </is>
      </c>
      <c r="C137" s="17" t="n">
        <v>2021</v>
      </c>
      <c r="D137" s="10" t="inlineStr">
        <is>
          <t>2021-05-31</t>
        </is>
      </c>
      <c r="E137" s="63" t="n">
        <v>6854</v>
      </c>
      <c r="F137" s="10" t="inlineStr">
        <is>
          <t>InventoryFinishedGoodsNetOfReserves</t>
        </is>
      </c>
      <c r="G137" s="10" t="inlineStr">
        <is>
          <t>10-K</t>
        </is>
      </c>
      <c r="H137" s="64" t="inlineStr">
        <is>
          <t>0000320187-22-000038</t>
        </is>
      </c>
      <c r="I137" s="10" t="inlineStr">
        <is>
          <t>2022-07-21</t>
        </is>
      </c>
    </row>
    <row r="138">
      <c r="B138" s="10" t="inlineStr">
        <is>
          <t>Inventory</t>
        </is>
      </c>
      <c r="C138" s="17" t="n">
        <v>2022</v>
      </c>
      <c r="D138" s="10" t="inlineStr">
        <is>
          <t>2022-05-31</t>
        </is>
      </c>
      <c r="E138" s="63" t="n">
        <v>8420</v>
      </c>
      <c r="F138" s="10" t="inlineStr">
        <is>
          <t>InventoryFinishedGoodsNetOfReserves</t>
        </is>
      </c>
      <c r="G138" s="10" t="inlineStr">
        <is>
          <t>10-K</t>
        </is>
      </c>
      <c r="H138" s="64" t="inlineStr">
        <is>
          <t>0000320187-23-000039</t>
        </is>
      </c>
      <c r="I138" s="10" t="inlineStr">
        <is>
          <t>2023-07-20</t>
        </is>
      </c>
    </row>
    <row r="139">
      <c r="B139" s="10" t="inlineStr">
        <is>
          <t>Inventory</t>
        </is>
      </c>
      <c r="C139" s="17" t="n">
        <v>2023</v>
      </c>
      <c r="D139" s="10" t="inlineStr">
        <is>
          <t>2023-05-31</t>
        </is>
      </c>
      <c r="E139" s="63" t="n">
        <v>8454</v>
      </c>
      <c r="F139" s="10" t="inlineStr">
        <is>
          <t>InventoryFinishedGoodsNetOfReserves</t>
        </is>
      </c>
      <c r="G139" s="10" t="inlineStr">
        <is>
          <t>10-K</t>
        </is>
      </c>
      <c r="H139" s="64" t="inlineStr">
        <is>
          <t>0000320187-25-000047</t>
        </is>
      </c>
      <c r="I139" s="10" t="inlineStr">
        <is>
          <t>2025-07-17</t>
        </is>
      </c>
    </row>
    <row r="140">
      <c r="B140" s="10" t="inlineStr">
        <is>
          <t>Inventory</t>
        </is>
      </c>
      <c r="C140" s="17" t="n">
        <v>2024</v>
      </c>
      <c r="D140" s="10" t="inlineStr">
        <is>
          <t>2024-05-31</t>
        </is>
      </c>
      <c r="E140" s="63" t="n">
        <v>7519</v>
      </c>
      <c r="F140" s="10" t="inlineStr">
        <is>
          <t>InventoryFinishedGoodsNetOfReserves</t>
        </is>
      </c>
      <c r="G140" s="10" t="inlineStr">
        <is>
          <t>10-K</t>
        </is>
      </c>
      <c r="H140" s="64" t="inlineStr">
        <is>
          <t>0000320187-26-000088</t>
        </is>
      </c>
      <c r="I140" s="10" t="inlineStr">
        <is>
          <t>2026-07-15</t>
        </is>
      </c>
    </row>
    <row r="141">
      <c r="B141" s="10" t="inlineStr">
        <is>
          <t>Inventory</t>
        </is>
      </c>
      <c r="C141" s="17" t="n">
        <v>2025</v>
      </c>
      <c r="D141" s="10" t="inlineStr">
        <is>
          <t>2025-05-31</t>
        </is>
      </c>
      <c r="E141" s="63" t="n">
        <v>7489</v>
      </c>
      <c r="F141" s="10" t="inlineStr">
        <is>
          <t>InventoryFinishedGoodsNetOfReserves</t>
        </is>
      </c>
      <c r="G141" s="10" t="inlineStr">
        <is>
          <t>10-K</t>
        </is>
      </c>
      <c r="H141" s="64" t="inlineStr">
        <is>
          <t>0000320187-26-000088</t>
        </is>
      </c>
      <c r="I141" s="10" t="inlineStr">
        <is>
          <t>2026-07-15</t>
        </is>
      </c>
    </row>
    <row r="142">
      <c r="B142" s="10" t="inlineStr">
        <is>
          <t>Inventory</t>
        </is>
      </c>
      <c r="C142" s="17" t="n">
        <v>2026</v>
      </c>
      <c r="D142" s="10" t="inlineStr">
        <is>
          <t>2026-05-31</t>
        </is>
      </c>
      <c r="E142" s="63" t="n">
        <v>7501</v>
      </c>
      <c r="F142" s="10" t="inlineStr">
        <is>
          <t>InventoryFinishedGoodsNetOfReserves</t>
        </is>
      </c>
      <c r="G142" s="10" t="inlineStr">
        <is>
          <t>10-K</t>
        </is>
      </c>
      <c r="H142" s="64" t="inlineStr">
        <is>
          <t>0000320187-26-000088</t>
        </is>
      </c>
      <c r="I142" s="10" t="inlineStr">
        <is>
          <t>2026-07-15</t>
        </is>
      </c>
    </row>
    <row r="143">
      <c r="B143" s="10" t="inlineStr">
        <is>
          <t>lt_debt_current</t>
        </is>
      </c>
      <c r="C143" s="17" t="n">
        <v>2019</v>
      </c>
      <c r="D143" s="10" t="inlineStr">
        <is>
          <t>2019-05-31</t>
        </is>
      </c>
      <c r="E143" s="63" t="n">
        <v>6</v>
      </c>
      <c r="F143" s="10" t="inlineStr">
        <is>
          <t>LongTermDebtCurrent</t>
        </is>
      </c>
      <c r="G143" s="10" t="inlineStr">
        <is>
          <t>10-K</t>
        </is>
      </c>
      <c r="H143" s="64" t="inlineStr">
        <is>
          <t>0000320187-20-000047</t>
        </is>
      </c>
      <c r="I143" s="10" t="inlineStr">
        <is>
          <t>2020-07-24</t>
        </is>
      </c>
    </row>
    <row r="144">
      <c r="B144" s="10" t="inlineStr">
        <is>
          <t>lt_debt_current</t>
        </is>
      </c>
      <c r="C144" s="17" t="n">
        <v>2020</v>
      </c>
      <c r="D144" s="10" t="inlineStr">
        <is>
          <t>2020-05-31</t>
        </is>
      </c>
      <c r="E144" s="63" t="n">
        <v>3</v>
      </c>
      <c r="F144" s="10" t="inlineStr">
        <is>
          <t>LongTermDebtCurrent</t>
        </is>
      </c>
      <c r="G144" s="10" t="inlineStr">
        <is>
          <t>10-K</t>
        </is>
      </c>
      <c r="H144" s="64" t="inlineStr">
        <is>
          <t>0000320187-21-000028</t>
        </is>
      </c>
      <c r="I144" s="10" t="inlineStr">
        <is>
          <t>2021-07-20</t>
        </is>
      </c>
    </row>
    <row r="145">
      <c r="B145" s="10" t="inlineStr">
        <is>
          <t>lt_debt_current</t>
        </is>
      </c>
      <c r="C145" s="17" t="n">
        <v>2021</v>
      </c>
      <c r="D145" s="10" t="inlineStr">
        <is>
          <t>2021-05-31</t>
        </is>
      </c>
      <c r="E145" s="63" t="n">
        <v>0</v>
      </c>
      <c r="F145" s="10" t="inlineStr">
        <is>
          <t>LongTermDebtCurrent</t>
        </is>
      </c>
      <c r="G145" s="10" t="inlineStr">
        <is>
          <t>10-K</t>
        </is>
      </c>
      <c r="H145" s="64" t="inlineStr">
        <is>
          <t>0000320187-22-000038</t>
        </is>
      </c>
      <c r="I145" s="10" t="inlineStr">
        <is>
          <t>2022-07-21</t>
        </is>
      </c>
    </row>
    <row r="146">
      <c r="B146" s="10" t="inlineStr">
        <is>
          <t>lt_debt_current</t>
        </is>
      </c>
      <c r="C146" s="17" t="n">
        <v>2022</v>
      </c>
      <c r="D146" s="10" t="inlineStr">
        <is>
          <t>2022-05-31</t>
        </is>
      </c>
      <c r="E146" s="63" t="n">
        <v>500</v>
      </c>
      <c r="F146" s="10" t="inlineStr">
        <is>
          <t>LongTermDebtCurrent</t>
        </is>
      </c>
      <c r="G146" s="10" t="inlineStr">
        <is>
          <t>10-K</t>
        </is>
      </c>
      <c r="H146" s="64" t="inlineStr">
        <is>
          <t>0000320187-23-000039</t>
        </is>
      </c>
      <c r="I146" s="10" t="inlineStr">
        <is>
          <t>2023-07-20</t>
        </is>
      </c>
    </row>
    <row r="147">
      <c r="B147" s="10" t="inlineStr">
        <is>
          <t>lt_debt_current</t>
        </is>
      </c>
      <c r="C147" s="17" t="n">
        <v>2023</v>
      </c>
      <c r="D147" s="10" t="inlineStr">
        <is>
          <t>2023-05-31</t>
        </is>
      </c>
      <c r="E147" s="63" t="n">
        <v>0</v>
      </c>
      <c r="F147" s="10" t="inlineStr">
        <is>
          <t>LongTermDebtCurrent</t>
        </is>
      </c>
      <c r="G147" s="10" t="inlineStr">
        <is>
          <t>10-K</t>
        </is>
      </c>
      <c r="H147" s="64" t="inlineStr">
        <is>
          <t>0000320187-24-000044</t>
        </is>
      </c>
      <c r="I147" s="10" t="inlineStr">
        <is>
          <t>2024-07-25</t>
        </is>
      </c>
    </row>
    <row r="148">
      <c r="B148" s="10" t="inlineStr">
        <is>
          <t>lt_debt_current</t>
        </is>
      </c>
      <c r="C148" s="17" t="n">
        <v>2024</v>
      </c>
      <c r="D148" s="10" t="inlineStr">
        <is>
          <t>2024-05-31</t>
        </is>
      </c>
      <c r="E148" s="63" t="n">
        <v>1000</v>
      </c>
      <c r="F148" s="10" t="inlineStr">
        <is>
          <t>LongTermDebtCurrent</t>
        </is>
      </c>
      <c r="G148" s="10" t="inlineStr">
        <is>
          <t>10-K</t>
        </is>
      </c>
      <c r="H148" s="64" t="inlineStr">
        <is>
          <t>0000320187-25-000047</t>
        </is>
      </c>
      <c r="I148" s="10" t="inlineStr">
        <is>
          <t>2025-07-17</t>
        </is>
      </c>
    </row>
    <row r="149">
      <c r="B149" s="10" t="inlineStr">
        <is>
          <t>lt_debt_current</t>
        </is>
      </c>
      <c r="C149" s="17" t="n">
        <v>2025</v>
      </c>
      <c r="D149" s="10" t="inlineStr">
        <is>
          <t>2025-05-31</t>
        </is>
      </c>
      <c r="E149" s="63" t="n">
        <v>0</v>
      </c>
      <c r="F149" s="10" t="inlineStr">
        <is>
          <t>LongTermDebtCurrent</t>
        </is>
      </c>
      <c r="G149" s="10" t="inlineStr">
        <is>
          <t>10-K</t>
        </is>
      </c>
      <c r="H149" s="64" t="inlineStr">
        <is>
          <t>0000320187-26-000088</t>
        </is>
      </c>
      <c r="I149" s="10" t="inlineStr">
        <is>
          <t>2026-07-15</t>
        </is>
      </c>
    </row>
    <row r="150">
      <c r="B150" s="10" t="inlineStr">
        <is>
          <t>lt_debt_current</t>
        </is>
      </c>
      <c r="C150" s="17" t="n">
        <v>2026</v>
      </c>
      <c r="D150" s="10" t="inlineStr">
        <is>
          <t>2026-05-31</t>
        </is>
      </c>
      <c r="E150" s="63" t="n">
        <v>2000</v>
      </c>
      <c r="F150" s="10" t="inlineStr">
        <is>
          <t>LongTermDebtCurrent</t>
        </is>
      </c>
      <c r="G150" s="10" t="inlineStr">
        <is>
          <t>10-K</t>
        </is>
      </c>
      <c r="H150" s="64" t="inlineStr">
        <is>
          <t>0000320187-26-000088</t>
        </is>
      </c>
      <c r="I150" s="10" t="inlineStr">
        <is>
          <t>2026-07-15</t>
        </is>
      </c>
    </row>
    <row r="151">
      <c r="B151" s="10" t="inlineStr">
        <is>
          <t>lt_debt_noncurrent</t>
        </is>
      </c>
      <c r="C151" s="17" t="n">
        <v>2019</v>
      </c>
      <c r="D151" s="10" t="inlineStr">
        <is>
          <t>2019-05-31</t>
        </is>
      </c>
      <c r="E151" s="63" t="n">
        <v>3464</v>
      </c>
      <c r="F151" s="10" t="inlineStr">
        <is>
          <t>LongTermDebtNoncurrent</t>
        </is>
      </c>
      <c r="G151" s="10" t="inlineStr">
        <is>
          <t>10-K</t>
        </is>
      </c>
      <c r="H151" s="64" t="inlineStr">
        <is>
          <t>0000320187-20-000047</t>
        </is>
      </c>
      <c r="I151" s="10" t="inlineStr">
        <is>
          <t>2020-07-24</t>
        </is>
      </c>
    </row>
    <row r="152">
      <c r="B152" s="10" t="inlineStr">
        <is>
          <t>lt_debt_noncurrent</t>
        </is>
      </c>
      <c r="C152" s="17" t="n">
        <v>2020</v>
      </c>
      <c r="D152" s="10" t="inlineStr">
        <is>
          <t>2020-05-31</t>
        </is>
      </c>
      <c r="E152" s="63" t="n">
        <v>9406</v>
      </c>
      <c r="F152" s="10" t="inlineStr">
        <is>
          <t>LongTermDebtNoncurrent</t>
        </is>
      </c>
      <c r="G152" s="10" t="inlineStr">
        <is>
          <t>10-K</t>
        </is>
      </c>
      <c r="H152" s="64" t="inlineStr">
        <is>
          <t>0000320187-21-000028</t>
        </is>
      </c>
      <c r="I152" s="10" t="inlineStr">
        <is>
          <t>2021-07-20</t>
        </is>
      </c>
    </row>
    <row r="153">
      <c r="B153" s="10" t="inlineStr">
        <is>
          <t>lt_debt_noncurrent</t>
        </is>
      </c>
      <c r="C153" s="17" t="n">
        <v>2021</v>
      </c>
      <c r="D153" s="10" t="inlineStr">
        <is>
          <t>2021-05-31</t>
        </is>
      </c>
      <c r="E153" s="63" t="n">
        <v>9413</v>
      </c>
      <c r="F153" s="10" t="inlineStr">
        <is>
          <t>LongTermDebtNoncurrent</t>
        </is>
      </c>
      <c r="G153" s="10" t="inlineStr">
        <is>
          <t>10-K</t>
        </is>
      </c>
      <c r="H153" s="64" t="inlineStr">
        <is>
          <t>0000320187-22-000038</t>
        </is>
      </c>
      <c r="I153" s="10" t="inlineStr">
        <is>
          <t>2022-07-21</t>
        </is>
      </c>
    </row>
    <row r="154">
      <c r="B154" s="10" t="inlineStr">
        <is>
          <t>lt_debt_noncurrent</t>
        </is>
      </c>
      <c r="C154" s="17" t="n">
        <v>2022</v>
      </c>
      <c r="D154" s="10" t="inlineStr">
        <is>
          <t>2022-05-31</t>
        </is>
      </c>
      <c r="E154" s="63" t="n">
        <v>8920</v>
      </c>
      <c r="F154" s="10" t="inlineStr">
        <is>
          <t>LongTermDebtNoncurrent</t>
        </is>
      </c>
      <c r="G154" s="10" t="inlineStr">
        <is>
          <t>10-K</t>
        </is>
      </c>
      <c r="H154" s="64" t="inlineStr">
        <is>
          <t>0000320187-23-000039</t>
        </is>
      </c>
      <c r="I154" s="10" t="inlineStr">
        <is>
          <t>2023-07-20</t>
        </is>
      </c>
    </row>
    <row r="155">
      <c r="B155" s="10" t="inlineStr">
        <is>
          <t>lt_debt_noncurrent</t>
        </is>
      </c>
      <c r="C155" s="17" t="n">
        <v>2023</v>
      </c>
      <c r="D155" s="10" t="inlineStr">
        <is>
          <t>2023-05-31</t>
        </is>
      </c>
      <c r="E155" s="63" t="n">
        <v>8927</v>
      </c>
      <c r="F155" s="10" t="inlineStr">
        <is>
          <t>LongTermDebtNoncurrent</t>
        </is>
      </c>
      <c r="G155" s="10" t="inlineStr">
        <is>
          <t>10-K</t>
        </is>
      </c>
      <c r="H155" s="64" t="inlineStr">
        <is>
          <t>0000320187-24-000044</t>
        </is>
      </c>
      <c r="I155" s="10" t="inlineStr">
        <is>
          <t>2024-07-25</t>
        </is>
      </c>
    </row>
    <row r="156">
      <c r="B156" s="10" t="inlineStr">
        <is>
          <t>lt_debt_noncurrent</t>
        </is>
      </c>
      <c r="C156" s="17" t="n">
        <v>2024</v>
      </c>
      <c r="D156" s="10" t="inlineStr">
        <is>
          <t>2024-05-31</t>
        </is>
      </c>
      <c r="E156" s="63" t="n">
        <v>7903</v>
      </c>
      <c r="F156" s="10" t="inlineStr">
        <is>
          <t>LongTermDebtNoncurrent</t>
        </is>
      </c>
      <c r="G156" s="10" t="inlineStr">
        <is>
          <t>10-K</t>
        </is>
      </c>
      <c r="H156" s="64" t="inlineStr">
        <is>
          <t>0000320187-25-000047</t>
        </is>
      </c>
      <c r="I156" s="10" t="inlineStr">
        <is>
          <t>2025-07-17</t>
        </is>
      </c>
    </row>
    <row r="157">
      <c r="B157" s="10" t="inlineStr">
        <is>
          <t>lt_debt_noncurrent</t>
        </is>
      </c>
      <c r="C157" s="17" t="n">
        <v>2025</v>
      </c>
      <c r="D157" s="10" t="inlineStr">
        <is>
          <t>2025-05-31</t>
        </is>
      </c>
      <c r="E157" s="63" t="n">
        <v>7961</v>
      </c>
      <c r="F157" s="10" t="inlineStr">
        <is>
          <t>LongTermDebtNoncurrent</t>
        </is>
      </c>
      <c r="G157" s="10" t="inlineStr">
        <is>
          <t>10-K</t>
        </is>
      </c>
      <c r="H157" s="64" t="inlineStr">
        <is>
          <t>0000320187-26-000088</t>
        </is>
      </c>
      <c r="I157" s="10" t="inlineStr">
        <is>
          <t>2026-07-15</t>
        </is>
      </c>
    </row>
    <row r="158">
      <c r="B158" s="10" t="inlineStr">
        <is>
          <t>lt_debt_noncurrent</t>
        </is>
      </c>
      <c r="C158" s="17" t="n">
        <v>2026</v>
      </c>
      <c r="D158" s="10" t="inlineStr">
        <is>
          <t>2026-05-31</t>
        </is>
      </c>
      <c r="E158" s="63" t="n">
        <v>5942</v>
      </c>
      <c r="F158" s="10" t="inlineStr">
        <is>
          <t>LongTermDebtNoncurrent</t>
        </is>
      </c>
      <c r="G158" s="10" t="inlineStr">
        <is>
          <t>10-K</t>
        </is>
      </c>
      <c r="H158" s="64" t="inlineStr">
        <is>
          <t>0000320187-26-000088</t>
        </is>
      </c>
      <c r="I158" s="10" t="inlineStr">
        <is>
          <t>2026-07-15</t>
        </is>
      </c>
    </row>
    <row r="159">
      <c r="B159" s="10" t="inlineStr">
        <is>
          <t>lt_debt_total</t>
        </is>
      </c>
      <c r="C159" s="17" t="n">
        <v>2019</v>
      </c>
      <c r="D159" s="10" t="inlineStr">
        <is>
          <t>2019-05-31</t>
        </is>
      </c>
      <c r="E159" s="63" t="n">
        <v>3470</v>
      </c>
      <c r="F159" s="10" t="inlineStr">
        <is>
          <t>LongTermDebt</t>
        </is>
      </c>
      <c r="G159" s="10" t="inlineStr">
        <is>
          <t>10-K</t>
        </is>
      </c>
      <c r="H159" s="64" t="inlineStr">
        <is>
          <t>0000320187-20-000047</t>
        </is>
      </c>
      <c r="I159" s="10" t="inlineStr">
        <is>
          <t>2020-07-24</t>
        </is>
      </c>
    </row>
    <row r="160">
      <c r="B160" s="10" t="inlineStr">
        <is>
          <t>lt_debt_total</t>
        </is>
      </c>
      <c r="C160" s="17" t="n">
        <v>2020</v>
      </c>
      <c r="D160" s="10" t="inlineStr">
        <is>
          <t>2020-05-31</t>
        </is>
      </c>
      <c r="E160" s="63" t="n">
        <v>9409</v>
      </c>
      <c r="F160" s="10" t="inlineStr">
        <is>
          <t>LongTermDebt</t>
        </is>
      </c>
      <c r="G160" s="10" t="inlineStr">
        <is>
          <t>10-K</t>
        </is>
      </c>
      <c r="H160" s="64" t="inlineStr">
        <is>
          <t>0000320187-21-000028</t>
        </is>
      </c>
      <c r="I160" s="10" t="inlineStr">
        <is>
          <t>2021-07-20</t>
        </is>
      </c>
    </row>
    <row r="161">
      <c r="B161" s="10" t="inlineStr">
        <is>
          <t>lt_debt_total</t>
        </is>
      </c>
      <c r="C161" s="17" t="n">
        <v>2021</v>
      </c>
      <c r="D161" s="10" t="inlineStr">
        <is>
          <t>2021-05-31</t>
        </is>
      </c>
      <c r="E161" s="63" t="n">
        <v>9413</v>
      </c>
      <c r="F161" s="10" t="inlineStr">
        <is>
          <t>LongTermDebt</t>
        </is>
      </c>
      <c r="G161" s="10" t="inlineStr">
        <is>
          <t>10-K</t>
        </is>
      </c>
      <c r="H161" s="64" t="inlineStr">
        <is>
          <t>0000320187-22-000038</t>
        </is>
      </c>
      <c r="I161" s="10" t="inlineStr">
        <is>
          <t>2022-07-21</t>
        </is>
      </c>
    </row>
    <row r="162">
      <c r="B162" s="10" t="inlineStr">
        <is>
          <t>lt_debt_total</t>
        </is>
      </c>
      <c r="C162" s="17" t="n">
        <v>2022</v>
      </c>
      <c r="D162" s="10" t="inlineStr">
        <is>
          <t>2022-05-31</t>
        </is>
      </c>
      <c r="E162" s="63" t="n">
        <v>9420</v>
      </c>
      <c r="F162" s="10" t="inlineStr">
        <is>
          <t>LongTermDebt</t>
        </is>
      </c>
      <c r="G162" s="10" t="inlineStr">
        <is>
          <t>10-K</t>
        </is>
      </c>
      <c r="H162" s="64" t="inlineStr">
        <is>
          <t>0000320187-23-000039</t>
        </is>
      </c>
      <c r="I162" s="10" t="inlineStr">
        <is>
          <t>2023-07-20</t>
        </is>
      </c>
    </row>
    <row r="163">
      <c r="B163" s="10" t="inlineStr">
        <is>
          <t>lt_debt_total</t>
        </is>
      </c>
      <c r="C163" s="17" t="n">
        <v>2023</v>
      </c>
      <c r="D163" s="10" t="inlineStr">
        <is>
          <t>2023-05-31</t>
        </is>
      </c>
      <c r="E163" s="63" t="n">
        <v>8927</v>
      </c>
      <c r="F163" s="10" t="inlineStr">
        <is>
          <t>LongTermDebt</t>
        </is>
      </c>
      <c r="G163" s="10" t="inlineStr">
        <is>
          <t>10-K</t>
        </is>
      </c>
      <c r="H163" s="64" t="inlineStr">
        <is>
          <t>0000320187-24-000044</t>
        </is>
      </c>
      <c r="I163" s="10" t="inlineStr">
        <is>
          <t>2024-07-25</t>
        </is>
      </c>
    </row>
    <row r="164">
      <c r="B164" s="10" t="inlineStr">
        <is>
          <t>lt_debt_total</t>
        </is>
      </c>
      <c r="C164" s="17" t="n">
        <v>2024</v>
      </c>
      <c r="D164" s="10" t="inlineStr">
        <is>
          <t>2024-05-31</t>
        </is>
      </c>
      <c r="E164" s="63" t="n">
        <v>8903</v>
      </c>
      <c r="F164" s="10" t="inlineStr">
        <is>
          <t>LongTermDebt</t>
        </is>
      </c>
      <c r="G164" s="10" t="inlineStr">
        <is>
          <t>10-K</t>
        </is>
      </c>
      <c r="H164" s="64" t="inlineStr">
        <is>
          <t>0000320187-25-000047</t>
        </is>
      </c>
      <c r="I164" s="10" t="inlineStr">
        <is>
          <t>2025-07-17</t>
        </is>
      </c>
    </row>
    <row r="165">
      <c r="B165" s="10" t="inlineStr">
        <is>
          <t>lt_debt_total</t>
        </is>
      </c>
      <c r="C165" s="17" t="n">
        <v>2025</v>
      </c>
      <c r="D165" s="10" t="inlineStr">
        <is>
          <t>2025-05-31</t>
        </is>
      </c>
      <c r="E165" s="63" t="n">
        <v>7961</v>
      </c>
      <c r="F165" s="10" t="inlineStr">
        <is>
          <t>LongTermDebt</t>
        </is>
      </c>
      <c r="G165" s="10" t="inlineStr">
        <is>
          <t>10-K</t>
        </is>
      </c>
      <c r="H165" s="64" t="inlineStr">
        <is>
          <t>0000320187-26-000088</t>
        </is>
      </c>
      <c r="I165" s="10" t="inlineStr">
        <is>
          <t>2026-07-15</t>
        </is>
      </c>
    </row>
    <row r="166">
      <c r="B166" s="10" t="inlineStr">
        <is>
          <t>lt_debt_total</t>
        </is>
      </c>
      <c r="C166" s="17" t="n">
        <v>2026</v>
      </c>
      <c r="D166" s="10" t="inlineStr">
        <is>
          <t>2026-05-31</t>
        </is>
      </c>
      <c r="E166" s="63" t="n">
        <v>7942</v>
      </c>
      <c r="F166" s="10" t="inlineStr">
        <is>
          <t>LongTermDebt</t>
        </is>
      </c>
      <c r="G166" s="10" t="inlineStr">
        <is>
          <t>10-K</t>
        </is>
      </c>
      <c r="H166" s="64" t="inlineStr">
        <is>
          <t>0000320187-26-000088</t>
        </is>
      </c>
      <c r="I166" s="10" t="inlineStr">
        <is>
          <t>2026-07-15</t>
        </is>
      </c>
    </row>
    <row r="167">
      <c r="B167" s="10" t="inlineStr">
        <is>
          <t>Net income</t>
        </is>
      </c>
      <c r="C167" s="17" t="n">
        <v>2019</v>
      </c>
      <c r="D167" s="10" t="inlineStr">
        <is>
          <t>2019-05-31</t>
        </is>
      </c>
      <c r="E167" s="63" t="n">
        <v>4029</v>
      </c>
      <c r="F167" s="10" t="inlineStr">
        <is>
          <t>NetIncomeLoss</t>
        </is>
      </c>
      <c r="G167" s="10" t="inlineStr">
        <is>
          <t>10-K</t>
        </is>
      </c>
      <c r="H167" s="64" t="inlineStr">
        <is>
          <t>0000320187-21-000028</t>
        </is>
      </c>
      <c r="I167" s="10" t="inlineStr">
        <is>
          <t>2021-07-20</t>
        </is>
      </c>
    </row>
    <row r="168">
      <c r="B168" s="10" t="inlineStr">
        <is>
          <t>Net income</t>
        </is>
      </c>
      <c r="C168" s="17" t="n">
        <v>2020</v>
      </c>
      <c r="D168" s="10" t="inlineStr">
        <is>
          <t>2020-05-31</t>
        </is>
      </c>
      <c r="E168" s="63" t="n">
        <v>2539</v>
      </c>
      <c r="F168" s="10" t="inlineStr">
        <is>
          <t>NetIncomeLoss</t>
        </is>
      </c>
      <c r="G168" s="10" t="inlineStr">
        <is>
          <t>10-K</t>
        </is>
      </c>
      <c r="H168" s="64" t="inlineStr">
        <is>
          <t>0000320187-22-000038</t>
        </is>
      </c>
      <c r="I168" s="10" t="inlineStr">
        <is>
          <t>2022-07-21</t>
        </is>
      </c>
    </row>
    <row r="169">
      <c r="B169" s="10" t="inlineStr">
        <is>
          <t>Net income</t>
        </is>
      </c>
      <c r="C169" s="17" t="n">
        <v>2021</v>
      </c>
      <c r="D169" s="10" t="inlineStr">
        <is>
          <t>2021-05-31</t>
        </is>
      </c>
      <c r="E169" s="63" t="n">
        <v>5727</v>
      </c>
      <c r="F169" s="10" t="inlineStr">
        <is>
          <t>NetIncomeLoss</t>
        </is>
      </c>
      <c r="G169" s="10" t="inlineStr">
        <is>
          <t>10-K</t>
        </is>
      </c>
      <c r="H169" s="64" t="inlineStr">
        <is>
          <t>0000320187-23-000039</t>
        </is>
      </c>
      <c r="I169" s="10" t="inlineStr">
        <is>
          <t>2023-07-20</t>
        </is>
      </c>
    </row>
    <row r="170">
      <c r="B170" s="10" t="inlineStr">
        <is>
          <t>Net income</t>
        </is>
      </c>
      <c r="C170" s="17" t="n">
        <v>2022</v>
      </c>
      <c r="D170" s="10" t="inlineStr">
        <is>
          <t>2022-05-31</t>
        </is>
      </c>
      <c r="E170" s="63" t="n">
        <v>6046</v>
      </c>
      <c r="F170" s="10" t="inlineStr">
        <is>
          <t>NetIncomeLoss</t>
        </is>
      </c>
      <c r="G170" s="10" t="inlineStr">
        <is>
          <t>10-K</t>
        </is>
      </c>
      <c r="H170" s="64" t="inlineStr">
        <is>
          <t>0000320187-24-000044</t>
        </is>
      </c>
      <c r="I170" s="10" t="inlineStr">
        <is>
          <t>2024-07-25</t>
        </is>
      </c>
    </row>
    <row r="171">
      <c r="B171" s="10" t="inlineStr">
        <is>
          <t>Net income</t>
        </is>
      </c>
      <c r="C171" s="17" t="n">
        <v>2023</v>
      </c>
      <c r="D171" s="10" t="inlineStr">
        <is>
          <t>2023-05-31</t>
        </is>
      </c>
      <c r="E171" s="63" t="n">
        <v>5070</v>
      </c>
      <c r="F171" s="10" t="inlineStr">
        <is>
          <t>NetIncomeLoss</t>
        </is>
      </c>
      <c r="G171" s="10" t="inlineStr">
        <is>
          <t>10-K</t>
        </is>
      </c>
      <c r="H171" s="64" t="inlineStr">
        <is>
          <t>0000320187-25-000047</t>
        </is>
      </c>
      <c r="I171" s="10" t="inlineStr">
        <is>
          <t>2025-07-17</t>
        </is>
      </c>
    </row>
    <row r="172">
      <c r="B172" s="10" t="inlineStr">
        <is>
          <t>Net income</t>
        </is>
      </c>
      <c r="C172" s="17" t="n">
        <v>2024</v>
      </c>
      <c r="D172" s="10" t="inlineStr">
        <is>
          <t>2024-05-31</t>
        </is>
      </c>
      <c r="E172" s="63" t="n">
        <v>5700</v>
      </c>
      <c r="F172" s="10" t="inlineStr">
        <is>
          <t>NetIncomeLoss</t>
        </is>
      </c>
      <c r="G172" s="10" t="inlineStr">
        <is>
          <t>10-K</t>
        </is>
      </c>
      <c r="H172" s="64" t="inlineStr">
        <is>
          <t>0000320187-26-000088</t>
        </is>
      </c>
      <c r="I172" s="10" t="inlineStr">
        <is>
          <t>2026-07-15</t>
        </is>
      </c>
    </row>
    <row r="173">
      <c r="B173" s="10" t="inlineStr">
        <is>
          <t>Net income</t>
        </is>
      </c>
      <c r="C173" s="17" t="n">
        <v>2025</v>
      </c>
      <c r="D173" s="10" t="inlineStr">
        <is>
          <t>2025-05-31</t>
        </is>
      </c>
      <c r="E173" s="63" t="n">
        <v>3219</v>
      </c>
      <c r="F173" s="10" t="inlineStr">
        <is>
          <t>NetIncomeLoss</t>
        </is>
      </c>
      <c r="G173" s="10" t="inlineStr">
        <is>
          <t>10-K</t>
        </is>
      </c>
      <c r="H173" s="64" t="inlineStr">
        <is>
          <t>0000320187-26-000088</t>
        </is>
      </c>
      <c r="I173" s="10" t="inlineStr">
        <is>
          <t>2026-07-15</t>
        </is>
      </c>
    </row>
    <row r="174">
      <c r="B174" s="10" t="inlineStr">
        <is>
          <t>Net income</t>
        </is>
      </c>
      <c r="C174" s="17" t="n">
        <v>2026</v>
      </c>
      <c r="D174" s="10" t="inlineStr">
        <is>
          <t>2026-05-31</t>
        </is>
      </c>
      <c r="E174" s="63" t="n">
        <v>3108</v>
      </c>
      <c r="F174" s="10" t="inlineStr">
        <is>
          <t>NetIncomeLoss</t>
        </is>
      </c>
      <c r="G174" s="10" t="inlineStr">
        <is>
          <t>10-K</t>
        </is>
      </c>
      <c r="H174" s="64" t="inlineStr">
        <is>
          <t>0000320187-26-000088</t>
        </is>
      </c>
      <c r="I174" s="10" t="inlineStr">
        <is>
          <t>2026-07-15</t>
        </is>
      </c>
    </row>
    <row r="175">
      <c r="B175" s="10" t="inlineStr">
        <is>
          <t>Operating income (EBIT)</t>
        </is>
      </c>
      <c r="C175" s="17" t="n">
        <v>2019</v>
      </c>
      <c r="D175" s="10" t="inlineStr">
        <is>
          <t>derived</t>
        </is>
      </c>
      <c r="E175" s="63" t="n">
        <v>4772</v>
      </c>
      <c r="F175" s="10" t="inlineStr">
        <is>
          <t>DERIVED: gross profit − SG&amp;A − R&amp;D</t>
        </is>
      </c>
      <c r="G175" s="10" t="inlineStr"/>
      <c r="H175" s="64" t="inlineStr"/>
      <c r="I175" s="10" t="inlineStr"/>
    </row>
    <row r="176">
      <c r="B176" s="10" t="inlineStr">
        <is>
          <t>Operating income (EBIT)</t>
        </is>
      </c>
      <c r="C176" s="17" t="n">
        <v>2020</v>
      </c>
      <c r="D176" s="10" t="inlineStr">
        <is>
          <t>derived</t>
        </is>
      </c>
      <c r="E176" s="63" t="n">
        <v>3115</v>
      </c>
      <c r="F176" s="10" t="inlineStr">
        <is>
          <t>DERIVED: gross profit − SG&amp;A − R&amp;D</t>
        </is>
      </c>
      <c r="G176" s="10" t="inlineStr"/>
      <c r="H176" s="64" t="inlineStr"/>
      <c r="I176" s="10" t="inlineStr"/>
    </row>
    <row r="177">
      <c r="B177" s="10" t="inlineStr">
        <is>
          <t>Operating income (EBIT)</t>
        </is>
      </c>
      <c r="C177" s="17" t="n">
        <v>2021</v>
      </c>
      <c r="D177" s="10" t="inlineStr">
        <is>
          <t>derived</t>
        </is>
      </c>
      <c r="E177" s="63" t="n">
        <v>6937</v>
      </c>
      <c r="F177" s="10" t="inlineStr">
        <is>
          <t>DERIVED: gross profit − SG&amp;A − R&amp;D</t>
        </is>
      </c>
      <c r="G177" s="10" t="inlineStr"/>
      <c r="H177" s="64" t="inlineStr"/>
      <c r="I177" s="10" t="inlineStr"/>
    </row>
    <row r="178">
      <c r="B178" s="10" t="inlineStr">
        <is>
          <t>Operating income (EBIT)</t>
        </is>
      </c>
      <c r="C178" s="17" t="n">
        <v>2022</v>
      </c>
      <c r="D178" s="10" t="inlineStr">
        <is>
          <t>derived</t>
        </is>
      </c>
      <c r="E178" s="63" t="n">
        <v>6675</v>
      </c>
      <c r="F178" s="10" t="inlineStr">
        <is>
          <t>DERIVED: gross profit − SG&amp;A − R&amp;D</t>
        </is>
      </c>
      <c r="G178" s="10" t="inlineStr"/>
      <c r="H178" s="64" t="inlineStr"/>
      <c r="I178" s="10" t="inlineStr"/>
    </row>
    <row r="179">
      <c r="B179" s="10" t="inlineStr">
        <is>
          <t>Operating income (EBIT)</t>
        </is>
      </c>
      <c r="C179" s="17" t="n">
        <v>2023</v>
      </c>
      <c r="D179" s="10" t="inlineStr">
        <is>
          <t>derived</t>
        </is>
      </c>
      <c r="E179" s="63" t="n">
        <v>5915</v>
      </c>
      <c r="F179" s="10" t="inlineStr">
        <is>
          <t>DERIVED: gross profit − SG&amp;A − R&amp;D</t>
        </is>
      </c>
      <c r="G179" s="10" t="inlineStr"/>
      <c r="H179" s="64" t="inlineStr"/>
      <c r="I179" s="10" t="inlineStr"/>
    </row>
    <row r="180">
      <c r="B180" s="10" t="inlineStr">
        <is>
          <t>Operating income (EBIT)</t>
        </is>
      </c>
      <c r="C180" s="17" t="n">
        <v>2024</v>
      </c>
      <c r="D180" s="10" t="inlineStr">
        <is>
          <t>derived</t>
        </is>
      </c>
      <c r="E180" s="63" t="n">
        <v>6311</v>
      </c>
      <c r="F180" s="10" t="inlineStr">
        <is>
          <t>DERIVED: gross profit − SG&amp;A − R&amp;D</t>
        </is>
      </c>
      <c r="G180" s="10" t="inlineStr"/>
      <c r="H180" s="64" t="inlineStr"/>
      <c r="I180" s="10" t="inlineStr"/>
    </row>
    <row r="181">
      <c r="B181" s="10" t="inlineStr">
        <is>
          <t>Operating income (EBIT)</t>
        </is>
      </c>
      <c r="C181" s="17" t="n">
        <v>2025</v>
      </c>
      <c r="D181" s="10" t="inlineStr">
        <is>
          <t>derived</t>
        </is>
      </c>
      <c r="E181" s="63" t="n">
        <v>3702</v>
      </c>
      <c r="F181" s="10" t="inlineStr">
        <is>
          <t>DERIVED: gross profit − SG&amp;A − R&amp;D</t>
        </is>
      </c>
      <c r="G181" s="10" t="inlineStr"/>
      <c r="H181" s="64" t="inlineStr"/>
      <c r="I181" s="10" t="inlineStr"/>
    </row>
    <row r="182">
      <c r="B182" s="10" t="inlineStr">
        <is>
          <t>Operating income (EBIT)</t>
        </is>
      </c>
      <c r="C182" s="17" t="n">
        <v>2026</v>
      </c>
      <c r="D182" s="10" t="inlineStr">
        <is>
          <t>derived</t>
        </is>
      </c>
      <c r="E182" s="63" t="n">
        <v>3797</v>
      </c>
      <c r="F182" s="10" t="inlineStr">
        <is>
          <t>DERIVED: gross profit − SG&amp;A − R&amp;D</t>
        </is>
      </c>
      <c r="G182" s="10" t="inlineStr"/>
      <c r="H182" s="64" t="inlineStr"/>
      <c r="I182" s="10" t="inlineStr"/>
    </row>
    <row r="183">
      <c r="B183" s="10" t="inlineStr">
        <is>
          <t>Accounts payable</t>
        </is>
      </c>
      <c r="C183" s="17" t="n">
        <v>2019</v>
      </c>
      <c r="D183" s="10" t="inlineStr">
        <is>
          <t>2019-05-31</t>
        </is>
      </c>
      <c r="E183" s="63" t="n">
        <v>2612</v>
      </c>
      <c r="F183" s="10" t="inlineStr">
        <is>
          <t>AccountsPayableCurrent</t>
        </is>
      </c>
      <c r="G183" s="10" t="inlineStr">
        <is>
          <t>10-K</t>
        </is>
      </c>
      <c r="H183" s="64" t="inlineStr">
        <is>
          <t>0000320187-20-000047</t>
        </is>
      </c>
      <c r="I183" s="10" t="inlineStr">
        <is>
          <t>2020-07-24</t>
        </is>
      </c>
    </row>
    <row r="184">
      <c r="B184" s="10" t="inlineStr">
        <is>
          <t>Accounts payable</t>
        </is>
      </c>
      <c r="C184" s="17" t="n">
        <v>2020</v>
      </c>
      <c r="D184" s="10" t="inlineStr">
        <is>
          <t>2020-05-31</t>
        </is>
      </c>
      <c r="E184" s="63" t="n">
        <v>2248</v>
      </c>
      <c r="F184" s="10" t="inlineStr">
        <is>
          <t>AccountsPayableCurrent</t>
        </is>
      </c>
      <c r="G184" s="10" t="inlineStr">
        <is>
          <t>10-K</t>
        </is>
      </c>
      <c r="H184" s="64" t="inlineStr">
        <is>
          <t>0000320187-21-000028</t>
        </is>
      </c>
      <c r="I184" s="10" t="inlineStr">
        <is>
          <t>2021-07-20</t>
        </is>
      </c>
    </row>
    <row r="185">
      <c r="B185" s="10" t="inlineStr">
        <is>
          <t>Accounts payable</t>
        </is>
      </c>
      <c r="C185" s="17" t="n">
        <v>2021</v>
      </c>
      <c r="D185" s="10" t="inlineStr">
        <is>
          <t>2021-05-31</t>
        </is>
      </c>
      <c r="E185" s="63" t="n">
        <v>2836</v>
      </c>
      <c r="F185" s="10" t="inlineStr">
        <is>
          <t>AccountsPayableCurrent</t>
        </is>
      </c>
      <c r="G185" s="10" t="inlineStr">
        <is>
          <t>10-K</t>
        </is>
      </c>
      <c r="H185" s="64" t="inlineStr">
        <is>
          <t>0000320187-22-000038</t>
        </is>
      </c>
      <c r="I185" s="10" t="inlineStr">
        <is>
          <t>2022-07-21</t>
        </is>
      </c>
    </row>
    <row r="186">
      <c r="B186" s="10" t="inlineStr">
        <is>
          <t>Accounts payable</t>
        </is>
      </c>
      <c r="C186" s="17" t="n">
        <v>2022</v>
      </c>
      <c r="D186" s="10" t="inlineStr">
        <is>
          <t>2022-05-31</t>
        </is>
      </c>
      <c r="E186" s="63" t="n">
        <v>3358</v>
      </c>
      <c r="F186" s="10" t="inlineStr">
        <is>
          <t>AccountsPayableCurrent</t>
        </is>
      </c>
      <c r="G186" s="10" t="inlineStr">
        <is>
          <t>10-K</t>
        </is>
      </c>
      <c r="H186" s="64" t="inlineStr">
        <is>
          <t>0000320187-23-000039</t>
        </is>
      </c>
      <c r="I186" s="10" t="inlineStr">
        <is>
          <t>2023-07-20</t>
        </is>
      </c>
    </row>
    <row r="187">
      <c r="B187" s="10" t="inlineStr">
        <is>
          <t>Accounts payable</t>
        </is>
      </c>
      <c r="C187" s="17" t="n">
        <v>2023</v>
      </c>
      <c r="D187" s="10" t="inlineStr">
        <is>
          <t>2023-05-31</t>
        </is>
      </c>
      <c r="E187" s="63" t="n">
        <v>2862</v>
      </c>
      <c r="F187" s="10" t="inlineStr">
        <is>
          <t>AccountsPayableCurrent</t>
        </is>
      </c>
      <c r="G187" s="10" t="inlineStr">
        <is>
          <t>10-K</t>
        </is>
      </c>
      <c r="H187" s="64" t="inlineStr">
        <is>
          <t>0000320187-24-000044</t>
        </is>
      </c>
      <c r="I187" s="10" t="inlineStr">
        <is>
          <t>2024-07-25</t>
        </is>
      </c>
    </row>
    <row r="188">
      <c r="B188" s="10" t="inlineStr">
        <is>
          <t>Accounts payable</t>
        </is>
      </c>
      <c r="C188" s="17" t="n">
        <v>2024</v>
      </c>
      <c r="D188" s="10" t="inlineStr">
        <is>
          <t>2024-05-31</t>
        </is>
      </c>
      <c r="E188" s="63" t="n">
        <v>2851</v>
      </c>
      <c r="F188" s="10" t="inlineStr">
        <is>
          <t>AccountsPayableCurrent</t>
        </is>
      </c>
      <c r="G188" s="10" t="inlineStr">
        <is>
          <t>10-K</t>
        </is>
      </c>
      <c r="H188" s="64" t="inlineStr">
        <is>
          <t>0000320187-25-000047</t>
        </is>
      </c>
      <c r="I188" s="10" t="inlineStr">
        <is>
          <t>2025-07-17</t>
        </is>
      </c>
    </row>
    <row r="189">
      <c r="B189" s="10" t="inlineStr">
        <is>
          <t>Accounts payable</t>
        </is>
      </c>
      <c r="C189" s="17" t="n">
        <v>2025</v>
      </c>
      <c r="D189" s="10" t="inlineStr">
        <is>
          <t>2025-05-31</t>
        </is>
      </c>
      <c r="E189" s="63" t="n">
        <v>3479</v>
      </c>
      <c r="F189" s="10" t="inlineStr">
        <is>
          <t>AccountsPayableCurrent</t>
        </is>
      </c>
      <c r="G189" s="10" t="inlineStr">
        <is>
          <t>10-K</t>
        </is>
      </c>
      <c r="H189" s="64" t="inlineStr">
        <is>
          <t>0000320187-26-000088</t>
        </is>
      </c>
      <c r="I189" s="10" t="inlineStr">
        <is>
          <t>2026-07-15</t>
        </is>
      </c>
    </row>
    <row r="190">
      <c r="B190" s="10" t="inlineStr">
        <is>
          <t>Accounts payable</t>
        </is>
      </c>
      <c r="C190" s="17" t="n">
        <v>2026</v>
      </c>
      <c r="D190" s="10" t="inlineStr">
        <is>
          <t>2026-05-31</t>
        </is>
      </c>
      <c r="E190" s="63" t="n">
        <v>3600</v>
      </c>
      <c r="F190" s="10" t="inlineStr">
        <is>
          <t>AccountsPayableCurrent</t>
        </is>
      </c>
      <c r="G190" s="10" t="inlineStr">
        <is>
          <t>10-K</t>
        </is>
      </c>
      <c r="H190" s="64" t="inlineStr">
        <is>
          <t>0000320187-26-000088</t>
        </is>
      </c>
      <c r="I190" s="10" t="inlineStr">
        <is>
          <t>2026-07-15</t>
        </is>
      </c>
    </row>
    <row r="191">
      <c r="B191" s="10" t="inlineStr">
        <is>
          <t>PP&amp;E, net</t>
        </is>
      </c>
      <c r="C191" s="17" t="n">
        <v>2019</v>
      </c>
      <c r="D191" s="10" t="inlineStr">
        <is>
          <t>2019-05-31</t>
        </is>
      </c>
      <c r="E191" s="63" t="n">
        <v>4744</v>
      </c>
      <c r="F191" s="10" t="inlineStr">
        <is>
          <t>PropertyPlantAndEquipmentNet</t>
        </is>
      </c>
      <c r="G191" s="10" t="inlineStr">
        <is>
          <t>10-K</t>
        </is>
      </c>
      <c r="H191" s="64" t="inlineStr">
        <is>
          <t>0000320187-20-000047</t>
        </is>
      </c>
      <c r="I191" s="10" t="inlineStr">
        <is>
          <t>2020-07-24</t>
        </is>
      </c>
    </row>
    <row r="192">
      <c r="B192" s="10" t="inlineStr">
        <is>
          <t>PP&amp;E, net</t>
        </is>
      </c>
      <c r="C192" s="17" t="n">
        <v>2020</v>
      </c>
      <c r="D192" s="10" t="inlineStr">
        <is>
          <t>2020-05-31</t>
        </is>
      </c>
      <c r="E192" s="63" t="n">
        <v>4866</v>
      </c>
      <c r="F192" s="10" t="inlineStr">
        <is>
          <t>PropertyPlantAndEquipmentNet</t>
        </is>
      </c>
      <c r="G192" s="10" t="inlineStr">
        <is>
          <t>10-K</t>
        </is>
      </c>
      <c r="H192" s="64" t="inlineStr">
        <is>
          <t>0000320187-21-000028</t>
        </is>
      </c>
      <c r="I192" s="10" t="inlineStr">
        <is>
          <t>2021-07-20</t>
        </is>
      </c>
    </row>
    <row r="193">
      <c r="B193" s="10" t="inlineStr">
        <is>
          <t>PP&amp;E, net</t>
        </is>
      </c>
      <c r="C193" s="17" t="n">
        <v>2021</v>
      </c>
      <c r="D193" s="10" t="inlineStr">
        <is>
          <t>2021-05-31</t>
        </is>
      </c>
      <c r="E193" s="63" t="n">
        <v>4904</v>
      </c>
      <c r="F193" s="10" t="inlineStr">
        <is>
          <t>PropertyPlantAndEquipmentNet</t>
        </is>
      </c>
      <c r="G193" s="10" t="inlineStr">
        <is>
          <t>10-K</t>
        </is>
      </c>
      <c r="H193" s="64" t="inlineStr">
        <is>
          <t>0000320187-22-000038</t>
        </is>
      </c>
      <c r="I193" s="10" t="inlineStr">
        <is>
          <t>2022-07-21</t>
        </is>
      </c>
    </row>
    <row r="194">
      <c r="B194" s="10" t="inlineStr">
        <is>
          <t>PP&amp;E, net</t>
        </is>
      </c>
      <c r="C194" s="17" t="n">
        <v>2022</v>
      </c>
      <c r="D194" s="10" t="inlineStr">
        <is>
          <t>2022-05-31</t>
        </is>
      </c>
      <c r="E194" s="63" t="n">
        <v>4791</v>
      </c>
      <c r="F194" s="10" t="inlineStr">
        <is>
          <t>PropertyPlantAndEquipmentNet</t>
        </is>
      </c>
      <c r="G194" s="10" t="inlineStr">
        <is>
          <t>10-K</t>
        </is>
      </c>
      <c r="H194" s="64" t="inlineStr">
        <is>
          <t>0000320187-23-000039</t>
        </is>
      </c>
      <c r="I194" s="10" t="inlineStr">
        <is>
          <t>2023-07-20</t>
        </is>
      </c>
    </row>
    <row r="195">
      <c r="B195" s="10" t="inlineStr">
        <is>
          <t>PP&amp;E, net</t>
        </is>
      </c>
      <c r="C195" s="17" t="n">
        <v>2023</v>
      </c>
      <c r="D195" s="10" t="inlineStr">
        <is>
          <t>2023-05-31</t>
        </is>
      </c>
      <c r="E195" s="63" t="n">
        <v>5081</v>
      </c>
      <c r="F195" s="10" t="inlineStr">
        <is>
          <t>PropertyPlantAndEquipmentNet</t>
        </is>
      </c>
      <c r="G195" s="10" t="inlineStr">
        <is>
          <t>10-K</t>
        </is>
      </c>
      <c r="H195" s="64" t="inlineStr">
        <is>
          <t>0000320187-24-000044</t>
        </is>
      </c>
      <c r="I195" s="10" t="inlineStr">
        <is>
          <t>2024-07-25</t>
        </is>
      </c>
    </row>
    <row r="196">
      <c r="B196" s="10" t="inlineStr">
        <is>
          <t>PP&amp;E, net</t>
        </is>
      </c>
      <c r="C196" s="17" t="n">
        <v>2024</v>
      </c>
      <c r="D196" s="10" t="inlineStr">
        <is>
          <t>2024-05-31</t>
        </is>
      </c>
      <c r="E196" s="63" t="n">
        <v>5000</v>
      </c>
      <c r="F196" s="10" t="inlineStr">
        <is>
          <t>PropertyPlantAndEquipmentNet</t>
        </is>
      </c>
      <c r="G196" s="10" t="inlineStr">
        <is>
          <t>10-K</t>
        </is>
      </c>
      <c r="H196" s="64" t="inlineStr">
        <is>
          <t>0000320187-25-000047</t>
        </is>
      </c>
      <c r="I196" s="10" t="inlineStr">
        <is>
          <t>2025-07-17</t>
        </is>
      </c>
    </row>
    <row r="197">
      <c r="B197" s="10" t="inlineStr">
        <is>
          <t>PP&amp;E, net</t>
        </is>
      </c>
      <c r="C197" s="17" t="n">
        <v>2025</v>
      </c>
      <c r="D197" s="10" t="inlineStr">
        <is>
          <t>2025-05-31</t>
        </is>
      </c>
      <c r="E197" s="63" t="n">
        <v>4828</v>
      </c>
      <c r="F197" s="10" t="inlineStr">
        <is>
          <t>PropertyPlantAndEquipmentNet</t>
        </is>
      </c>
      <c r="G197" s="10" t="inlineStr">
        <is>
          <t>10-K</t>
        </is>
      </c>
      <c r="H197" s="64" t="inlineStr">
        <is>
          <t>0000320187-26-000088</t>
        </is>
      </c>
      <c r="I197" s="10" t="inlineStr">
        <is>
          <t>2026-07-15</t>
        </is>
      </c>
    </row>
    <row r="198">
      <c r="B198" s="10" t="inlineStr">
        <is>
          <t>PP&amp;E, net</t>
        </is>
      </c>
      <c r="C198" s="17" t="n">
        <v>2026</v>
      </c>
      <c r="D198" s="10" t="inlineStr">
        <is>
          <t>2026-05-31</t>
        </is>
      </c>
      <c r="E198" s="63" t="n">
        <v>4796</v>
      </c>
      <c r="F198" s="10" t="inlineStr">
        <is>
          <t>PropertyPlantAndEquipmentNet</t>
        </is>
      </c>
      <c r="G198" s="10" t="inlineStr">
        <is>
          <t>10-K</t>
        </is>
      </c>
      <c r="H198" s="64" t="inlineStr">
        <is>
          <t>0000320187-26-000088</t>
        </is>
      </c>
      <c r="I198" s="10" t="inlineStr">
        <is>
          <t>2026-07-15</t>
        </is>
      </c>
    </row>
    <row r="199">
      <c r="B199" s="10" t="inlineStr">
        <is>
          <t>Pre-tax income</t>
        </is>
      </c>
      <c r="C199" s="17" t="n">
        <v>2019</v>
      </c>
      <c r="D199" s="10" t="inlineStr">
        <is>
          <t>2019-05-31</t>
        </is>
      </c>
      <c r="E199" s="63" t="n">
        <v>4801</v>
      </c>
      <c r="F199" s="10" t="inlineStr">
        <is>
          <t>IncomeLossFromContinuingOperationsBeforeIncomeTaxesMinorityInterestAndIncomeLossFromEquityMethodInvestments</t>
        </is>
      </c>
      <c r="G199" s="10" t="inlineStr">
        <is>
          <t>10-K</t>
        </is>
      </c>
      <c r="H199" s="64" t="inlineStr">
        <is>
          <t>0000320187-21-000028</t>
        </is>
      </c>
      <c r="I199" s="10" t="inlineStr">
        <is>
          <t>2021-07-20</t>
        </is>
      </c>
    </row>
    <row r="200">
      <c r="B200" s="10" t="inlineStr">
        <is>
          <t>Pre-tax income</t>
        </is>
      </c>
      <c r="C200" s="17" t="n">
        <v>2020</v>
      </c>
      <c r="D200" s="10" t="inlineStr">
        <is>
          <t>2020-05-31</t>
        </is>
      </c>
      <c r="E200" s="63" t="n">
        <v>2887</v>
      </c>
      <c r="F200" s="10" t="inlineStr">
        <is>
          <t>IncomeLossFromContinuingOperationsBeforeIncomeTaxesExtraordinaryItemsNoncontrollingInterest</t>
        </is>
      </c>
      <c r="G200" s="10" t="inlineStr">
        <is>
          <t>10-K</t>
        </is>
      </c>
      <c r="H200" s="64" t="inlineStr">
        <is>
          <t>0000320187-22-000038</t>
        </is>
      </c>
      <c r="I200" s="10" t="inlineStr">
        <is>
          <t>2022-07-21</t>
        </is>
      </c>
    </row>
    <row r="201">
      <c r="B201" s="10" t="inlineStr">
        <is>
          <t>Pre-tax income</t>
        </is>
      </c>
      <c r="C201" s="17" t="n">
        <v>2021</v>
      </c>
      <c r="D201" s="10" t="inlineStr">
        <is>
          <t>2021-05-31</t>
        </is>
      </c>
      <c r="E201" s="63" t="n">
        <v>6661</v>
      </c>
      <c r="F201" s="10" t="inlineStr">
        <is>
          <t>IncomeLossFromContinuingOperationsBeforeIncomeTaxesExtraordinaryItemsNoncontrollingInterest</t>
        </is>
      </c>
      <c r="G201" s="10" t="inlineStr">
        <is>
          <t>10-K</t>
        </is>
      </c>
      <c r="H201" s="64" t="inlineStr">
        <is>
          <t>0000320187-23-000039</t>
        </is>
      </c>
      <c r="I201" s="10" t="inlineStr">
        <is>
          <t>2023-07-20</t>
        </is>
      </c>
    </row>
    <row r="202">
      <c r="B202" s="10" t="inlineStr">
        <is>
          <t>Pre-tax income</t>
        </is>
      </c>
      <c r="C202" s="17" t="n">
        <v>2022</v>
      </c>
      <c r="D202" s="10" t="inlineStr">
        <is>
          <t>2022-05-31</t>
        </is>
      </c>
      <c r="E202" s="63" t="n">
        <v>6651</v>
      </c>
      <c r="F202" s="10" t="inlineStr">
        <is>
          <t>IncomeLossFromContinuingOperationsBeforeIncomeTaxesExtraordinaryItemsNoncontrollingInterest</t>
        </is>
      </c>
      <c r="G202" s="10" t="inlineStr">
        <is>
          <t>10-K</t>
        </is>
      </c>
      <c r="H202" s="64" t="inlineStr">
        <is>
          <t>0000320187-24-000044</t>
        </is>
      </c>
      <c r="I202" s="10" t="inlineStr">
        <is>
          <t>2024-07-25</t>
        </is>
      </c>
    </row>
    <row r="203">
      <c r="B203" s="10" t="inlineStr">
        <is>
          <t>Pre-tax income</t>
        </is>
      </c>
      <c r="C203" s="17" t="n">
        <v>2023</v>
      </c>
      <c r="D203" s="10" t="inlineStr">
        <is>
          <t>2023-05-31</t>
        </is>
      </c>
      <c r="E203" s="63" t="n">
        <v>6201</v>
      </c>
      <c r="F203" s="10" t="inlineStr">
        <is>
          <t>IncomeLossFromContinuingOperationsBeforeIncomeTaxesExtraordinaryItemsNoncontrollingInterest</t>
        </is>
      </c>
      <c r="G203" s="10" t="inlineStr">
        <is>
          <t>10-K</t>
        </is>
      </c>
      <c r="H203" s="64" t="inlineStr">
        <is>
          <t>0000320187-25-000047</t>
        </is>
      </c>
      <c r="I203" s="10" t="inlineStr">
        <is>
          <t>2025-07-17</t>
        </is>
      </c>
    </row>
    <row r="204">
      <c r="B204" s="10" t="inlineStr">
        <is>
          <t>Pre-tax income</t>
        </is>
      </c>
      <c r="C204" s="17" t="n">
        <v>2024</v>
      </c>
      <c r="D204" s="10" t="inlineStr">
        <is>
          <t>2024-05-31</t>
        </is>
      </c>
      <c r="E204" s="63" t="n">
        <v>6700</v>
      </c>
      <c r="F204" s="10" t="inlineStr">
        <is>
          <t>IncomeLossFromContinuingOperationsBeforeIncomeTaxesExtraordinaryItemsNoncontrollingInterest</t>
        </is>
      </c>
      <c r="G204" s="10" t="inlineStr">
        <is>
          <t>10-K</t>
        </is>
      </c>
      <c r="H204" s="64" t="inlineStr">
        <is>
          <t>0000320187-26-000088</t>
        </is>
      </c>
      <c r="I204" s="10" t="inlineStr">
        <is>
          <t>2026-07-15</t>
        </is>
      </c>
    </row>
    <row r="205">
      <c r="B205" s="10" t="inlineStr">
        <is>
          <t>Pre-tax income</t>
        </is>
      </c>
      <c r="C205" s="17" t="n">
        <v>2025</v>
      </c>
      <c r="D205" s="10" t="inlineStr">
        <is>
          <t>2025-05-31</t>
        </is>
      </c>
      <c r="E205" s="63" t="n">
        <v>3885</v>
      </c>
      <c r="F205" s="10" t="inlineStr">
        <is>
          <t>IncomeLossFromContinuingOperationsBeforeIncomeTaxesExtraordinaryItemsNoncontrollingInterest</t>
        </is>
      </c>
      <c r="G205" s="10" t="inlineStr">
        <is>
          <t>10-K</t>
        </is>
      </c>
      <c r="H205" s="64" t="inlineStr">
        <is>
          <t>0000320187-26-000088</t>
        </is>
      </c>
      <c r="I205" s="10" t="inlineStr">
        <is>
          <t>2026-07-15</t>
        </is>
      </c>
    </row>
    <row r="206">
      <c r="B206" s="10" t="inlineStr">
        <is>
          <t>Pre-tax income</t>
        </is>
      </c>
      <c r="C206" s="17" t="n">
        <v>2026</v>
      </c>
      <c r="D206" s="10" t="inlineStr">
        <is>
          <t>2026-05-31</t>
        </is>
      </c>
      <c r="E206" s="63" t="n">
        <v>3900</v>
      </c>
      <c r="F206" s="10" t="inlineStr">
        <is>
          <t>IncomeLossFromContinuingOperationsBeforeIncomeTaxesExtraordinaryItemsNoncontrollingInterest</t>
        </is>
      </c>
      <c r="G206" s="10" t="inlineStr">
        <is>
          <t>10-K</t>
        </is>
      </c>
      <c r="H206" s="64" t="inlineStr">
        <is>
          <t>0000320187-26-000088</t>
        </is>
      </c>
      <c r="I206" s="10" t="inlineStr">
        <is>
          <t>2026-07-15</t>
        </is>
      </c>
    </row>
    <row r="207">
      <c r="B207" s="10" t="inlineStr">
        <is>
          <t>Accounts receivable</t>
        </is>
      </c>
      <c r="C207" s="17" t="n">
        <v>2019</v>
      </c>
      <c r="D207" s="10" t="inlineStr">
        <is>
          <t>2019-05-31</t>
        </is>
      </c>
      <c r="E207" s="63" t="n">
        <v>4272</v>
      </c>
      <c r="F207" s="10" t="inlineStr">
        <is>
          <t>AccountsReceivableNetCurrent</t>
        </is>
      </c>
      <c r="G207" s="10" t="inlineStr">
        <is>
          <t>10-K</t>
        </is>
      </c>
      <c r="H207" s="64" t="inlineStr">
        <is>
          <t>0000320187-20-000047</t>
        </is>
      </c>
      <c r="I207" s="10" t="inlineStr">
        <is>
          <t>2020-07-24</t>
        </is>
      </c>
    </row>
    <row r="208">
      <c r="B208" s="10" t="inlineStr">
        <is>
          <t>Accounts receivable</t>
        </is>
      </c>
      <c r="C208" s="17" t="n">
        <v>2020</v>
      </c>
      <c r="D208" s="10" t="inlineStr">
        <is>
          <t>2020-05-31</t>
        </is>
      </c>
      <c r="E208" s="63" t="n">
        <v>2749</v>
      </c>
      <c r="F208" s="10" t="inlineStr">
        <is>
          <t>AccountsReceivableNetCurrent</t>
        </is>
      </c>
      <c r="G208" s="10" t="inlineStr">
        <is>
          <t>10-K</t>
        </is>
      </c>
      <c r="H208" s="64" t="inlineStr">
        <is>
          <t>0000320187-21-000028</t>
        </is>
      </c>
      <c r="I208" s="10" t="inlineStr">
        <is>
          <t>2021-07-20</t>
        </is>
      </c>
    </row>
    <row r="209">
      <c r="B209" s="10" t="inlineStr">
        <is>
          <t>Accounts receivable</t>
        </is>
      </c>
      <c r="C209" s="17" t="n">
        <v>2021</v>
      </c>
      <c r="D209" s="10" t="inlineStr">
        <is>
          <t>2021-05-31</t>
        </is>
      </c>
      <c r="E209" s="63" t="n">
        <v>4463</v>
      </c>
      <c r="F209" s="10" t="inlineStr">
        <is>
          <t>AccountsReceivableNetCurrent</t>
        </is>
      </c>
      <c r="G209" s="10" t="inlineStr">
        <is>
          <t>10-K</t>
        </is>
      </c>
      <c r="H209" s="64" t="inlineStr">
        <is>
          <t>0000320187-22-000038</t>
        </is>
      </c>
      <c r="I209" s="10" t="inlineStr">
        <is>
          <t>2022-07-21</t>
        </is>
      </c>
    </row>
    <row r="210">
      <c r="B210" s="10" t="inlineStr">
        <is>
          <t>Accounts receivable</t>
        </is>
      </c>
      <c r="C210" s="17" t="n">
        <v>2022</v>
      </c>
      <c r="D210" s="10" t="inlineStr">
        <is>
          <t>2022-05-31</t>
        </is>
      </c>
      <c r="E210" s="63" t="n">
        <v>4667</v>
      </c>
      <c r="F210" s="10" t="inlineStr">
        <is>
          <t>AccountsReceivableNetCurrent</t>
        </is>
      </c>
      <c r="G210" s="10" t="inlineStr">
        <is>
          <t>10-K</t>
        </is>
      </c>
      <c r="H210" s="64" t="inlineStr">
        <is>
          <t>0000320187-23-000039</t>
        </is>
      </c>
      <c r="I210" s="10" t="inlineStr">
        <is>
          <t>2023-07-20</t>
        </is>
      </c>
    </row>
    <row r="211">
      <c r="B211" s="10" t="inlineStr">
        <is>
          <t>Accounts receivable</t>
        </is>
      </c>
      <c r="C211" s="17" t="n">
        <v>2023</v>
      </c>
      <c r="D211" s="10" t="inlineStr">
        <is>
          <t>2023-05-31</t>
        </is>
      </c>
      <c r="E211" s="63" t="n">
        <v>4131</v>
      </c>
      <c r="F211" s="10" t="inlineStr">
        <is>
          <t>AccountsReceivableNetCurrent</t>
        </is>
      </c>
      <c r="G211" s="10" t="inlineStr">
        <is>
          <t>10-K</t>
        </is>
      </c>
      <c r="H211" s="64" t="inlineStr">
        <is>
          <t>0000320187-24-000044</t>
        </is>
      </c>
      <c r="I211" s="10" t="inlineStr">
        <is>
          <t>2024-07-25</t>
        </is>
      </c>
    </row>
    <row r="212">
      <c r="B212" s="10" t="inlineStr">
        <is>
          <t>Accounts receivable</t>
        </is>
      </c>
      <c r="C212" s="17" t="n">
        <v>2024</v>
      </c>
      <c r="D212" s="10" t="inlineStr">
        <is>
          <t>2024-05-31</t>
        </is>
      </c>
      <c r="E212" s="63" t="n">
        <v>4427</v>
      </c>
      <c r="F212" s="10" t="inlineStr">
        <is>
          <t>AccountsReceivableNetCurrent</t>
        </is>
      </c>
      <c r="G212" s="10" t="inlineStr">
        <is>
          <t>10-K</t>
        </is>
      </c>
      <c r="H212" s="64" t="inlineStr">
        <is>
          <t>0000320187-25-000047</t>
        </is>
      </c>
      <c r="I212" s="10" t="inlineStr">
        <is>
          <t>2025-07-17</t>
        </is>
      </c>
    </row>
    <row r="213">
      <c r="B213" s="10" t="inlineStr">
        <is>
          <t>Accounts receivable</t>
        </is>
      </c>
      <c r="C213" s="17" t="n">
        <v>2025</v>
      </c>
      <c r="D213" s="10" t="inlineStr">
        <is>
          <t>2025-05-31</t>
        </is>
      </c>
      <c r="E213" s="63" t="n">
        <v>4717</v>
      </c>
      <c r="F213" s="10" t="inlineStr">
        <is>
          <t>AccountsReceivableNetCurrent</t>
        </is>
      </c>
      <c r="G213" s="10" t="inlineStr">
        <is>
          <t>10-K</t>
        </is>
      </c>
      <c r="H213" s="64" t="inlineStr">
        <is>
          <t>0000320187-26-000088</t>
        </is>
      </c>
      <c r="I213" s="10" t="inlineStr">
        <is>
          <t>2026-07-15</t>
        </is>
      </c>
    </row>
    <row r="214">
      <c r="B214" s="10" t="inlineStr">
        <is>
          <t>Accounts receivable</t>
        </is>
      </c>
      <c r="C214" s="17" t="n">
        <v>2026</v>
      </c>
      <c r="D214" s="10" t="inlineStr">
        <is>
          <t>2026-05-31</t>
        </is>
      </c>
      <c r="E214" s="63" t="n">
        <v>5931</v>
      </c>
      <c r="F214" s="10" t="inlineStr">
        <is>
          <t>AccountsReceivableNetCurrent</t>
        </is>
      </c>
      <c r="G214" s="10" t="inlineStr">
        <is>
          <t>10-K</t>
        </is>
      </c>
      <c r="H214" s="64" t="inlineStr">
        <is>
          <t>0000320187-26-000088</t>
        </is>
      </c>
      <c r="I214" s="10" t="inlineStr">
        <is>
          <t>2026-07-15</t>
        </is>
      </c>
    </row>
    <row r="215">
      <c r="B215" s="10" t="inlineStr">
        <is>
          <t>Revenue</t>
        </is>
      </c>
      <c r="C215" s="17" t="n">
        <v>2019</v>
      </c>
      <c r="D215" s="10" t="inlineStr">
        <is>
          <t>2019-05-31</t>
        </is>
      </c>
      <c r="E215" s="63" t="n">
        <v>39117</v>
      </c>
      <c r="F215" s="10" t="inlineStr">
        <is>
          <t>RevenueFromContractWithCustomerExcludingAssessedTax</t>
        </is>
      </c>
      <c r="G215" s="10" t="inlineStr">
        <is>
          <t>10-K</t>
        </is>
      </c>
      <c r="H215" s="64" t="inlineStr">
        <is>
          <t>0000320187-21-000028</t>
        </is>
      </c>
      <c r="I215" s="10" t="inlineStr">
        <is>
          <t>2021-07-20</t>
        </is>
      </c>
    </row>
    <row r="216">
      <c r="B216" s="10" t="inlineStr">
        <is>
          <t>Revenue</t>
        </is>
      </c>
      <c r="C216" s="17" t="n">
        <v>2020</v>
      </c>
      <c r="D216" s="10" t="inlineStr">
        <is>
          <t>2020-05-31</t>
        </is>
      </c>
      <c r="E216" s="63" t="n">
        <v>37403</v>
      </c>
      <c r="F216" s="10" t="inlineStr">
        <is>
          <t>RevenueFromContractWithCustomerExcludingAssessedTax</t>
        </is>
      </c>
      <c r="G216" s="10" t="inlineStr">
        <is>
          <t>10-K</t>
        </is>
      </c>
      <c r="H216" s="64" t="inlineStr">
        <is>
          <t>0000320187-22-000038</t>
        </is>
      </c>
      <c r="I216" s="10" t="inlineStr">
        <is>
          <t>2022-07-21</t>
        </is>
      </c>
    </row>
    <row r="217">
      <c r="B217" s="10" t="inlineStr">
        <is>
          <t>Revenue</t>
        </is>
      </c>
      <c r="C217" s="17" t="n">
        <v>2021</v>
      </c>
      <c r="D217" s="10" t="inlineStr">
        <is>
          <t>2021-05-31</t>
        </is>
      </c>
      <c r="E217" s="63" t="n">
        <v>44538</v>
      </c>
      <c r="F217" s="10" t="inlineStr">
        <is>
          <t>RevenueFromContractWithCustomerExcludingAssessedTax</t>
        </is>
      </c>
      <c r="G217" s="10" t="inlineStr">
        <is>
          <t>10-K</t>
        </is>
      </c>
      <c r="H217" s="64" t="inlineStr">
        <is>
          <t>0000320187-23-000039</t>
        </is>
      </c>
      <c r="I217" s="10" t="inlineStr">
        <is>
          <t>2023-07-20</t>
        </is>
      </c>
    </row>
    <row r="218">
      <c r="B218" s="10" t="inlineStr">
        <is>
          <t>Revenue</t>
        </is>
      </c>
      <c r="C218" s="17" t="n">
        <v>2022</v>
      </c>
      <c r="D218" s="10" t="inlineStr">
        <is>
          <t>2022-05-31</t>
        </is>
      </c>
      <c r="E218" s="63" t="n">
        <v>46710</v>
      </c>
      <c r="F218" s="10" t="inlineStr">
        <is>
          <t>RevenueFromContractWithCustomerExcludingAssessedTax</t>
        </is>
      </c>
      <c r="G218" s="10" t="inlineStr">
        <is>
          <t>10-K</t>
        </is>
      </c>
      <c r="H218" s="64" t="inlineStr">
        <is>
          <t>0000320187-24-000044</t>
        </is>
      </c>
      <c r="I218" s="10" t="inlineStr">
        <is>
          <t>2024-07-25</t>
        </is>
      </c>
    </row>
    <row r="219">
      <c r="B219" s="10" t="inlineStr">
        <is>
          <t>Revenue</t>
        </is>
      </c>
      <c r="C219" s="17" t="n">
        <v>2023</v>
      </c>
      <c r="D219" s="10" t="inlineStr">
        <is>
          <t>2023-05-31</t>
        </is>
      </c>
      <c r="E219" s="63" t="n">
        <v>51217</v>
      </c>
      <c r="F219" s="10" t="inlineStr">
        <is>
          <t>RevenueFromContractWithCustomerExcludingAssessedTax</t>
        </is>
      </c>
      <c r="G219" s="10" t="inlineStr">
        <is>
          <t>10-K</t>
        </is>
      </c>
      <c r="H219" s="64" t="inlineStr">
        <is>
          <t>0000320187-25-000047</t>
        </is>
      </c>
      <c r="I219" s="10" t="inlineStr">
        <is>
          <t>2025-07-17</t>
        </is>
      </c>
    </row>
    <row r="220">
      <c r="B220" s="10" t="inlineStr">
        <is>
          <t>Revenue</t>
        </is>
      </c>
      <c r="C220" s="17" t="n">
        <v>2024</v>
      </c>
      <c r="D220" s="10" t="inlineStr">
        <is>
          <t>2024-05-31</t>
        </is>
      </c>
      <c r="E220" s="63" t="n">
        <v>51362</v>
      </c>
      <c r="F220" s="10" t="inlineStr">
        <is>
          <t>RevenueFromContractWithCustomerExcludingAssessedTax</t>
        </is>
      </c>
      <c r="G220" s="10" t="inlineStr">
        <is>
          <t>10-K</t>
        </is>
      </c>
      <c r="H220" s="64" t="inlineStr">
        <is>
          <t>0000320187-26-000088</t>
        </is>
      </c>
      <c r="I220" s="10" t="inlineStr">
        <is>
          <t>2026-07-15</t>
        </is>
      </c>
    </row>
    <row r="221">
      <c r="B221" s="10" t="inlineStr">
        <is>
          <t>Revenue</t>
        </is>
      </c>
      <c r="C221" s="17" t="n">
        <v>2025</v>
      </c>
      <c r="D221" s="10" t="inlineStr">
        <is>
          <t>2025-05-31</t>
        </is>
      </c>
      <c r="E221" s="63" t="n">
        <v>46309</v>
      </c>
      <c r="F221" s="10" t="inlineStr">
        <is>
          <t>RevenueFromContractWithCustomerExcludingAssessedTax</t>
        </is>
      </c>
      <c r="G221" s="10" t="inlineStr">
        <is>
          <t>10-K</t>
        </is>
      </c>
      <c r="H221" s="64" t="inlineStr">
        <is>
          <t>0000320187-26-000088</t>
        </is>
      </c>
      <c r="I221" s="10" t="inlineStr">
        <is>
          <t>2026-07-15</t>
        </is>
      </c>
    </row>
    <row r="222">
      <c r="B222" s="10" t="inlineStr">
        <is>
          <t>Revenue</t>
        </is>
      </c>
      <c r="C222" s="17" t="n">
        <v>2026</v>
      </c>
      <c r="D222" s="10" t="inlineStr">
        <is>
          <t>2026-05-31</t>
        </is>
      </c>
      <c r="E222" s="63" t="n">
        <v>46398</v>
      </c>
      <c r="F222" s="10" t="inlineStr">
        <is>
          <t>RevenueFromContractWithCustomerExcludingAssessedTax</t>
        </is>
      </c>
      <c r="G222" s="10" t="inlineStr">
        <is>
          <t>10-K</t>
        </is>
      </c>
      <c r="H222" s="64" t="inlineStr">
        <is>
          <t>0000320187-26-000088</t>
        </is>
      </c>
      <c r="I222" s="10" t="inlineStr">
        <is>
          <t>2026-07-15</t>
        </is>
      </c>
    </row>
    <row r="223">
      <c r="B223" s="10" t="inlineStr">
        <is>
          <t>Stock-based compensation</t>
        </is>
      </c>
      <c r="C223" s="17" t="n">
        <v>2019</v>
      </c>
      <c r="D223" s="10" t="inlineStr">
        <is>
          <t>2019-05-31</t>
        </is>
      </c>
      <c r="E223" s="63" t="n">
        <v>325</v>
      </c>
      <c r="F223" s="10" t="inlineStr">
        <is>
          <t>ShareBasedCompensation</t>
        </is>
      </c>
      <c r="G223" s="10" t="inlineStr">
        <is>
          <t>10-K</t>
        </is>
      </c>
      <c r="H223" s="64" t="inlineStr">
        <is>
          <t>0000320187-21-000028</t>
        </is>
      </c>
      <c r="I223" s="10" t="inlineStr">
        <is>
          <t>2021-07-20</t>
        </is>
      </c>
    </row>
    <row r="224">
      <c r="B224" s="10" t="inlineStr">
        <is>
          <t>Stock-based compensation</t>
        </is>
      </c>
      <c r="C224" s="17" t="n">
        <v>2020</v>
      </c>
      <c r="D224" s="10" t="inlineStr">
        <is>
          <t>2020-05-31</t>
        </is>
      </c>
      <c r="E224" s="63" t="n">
        <v>429</v>
      </c>
      <c r="F224" s="10" t="inlineStr">
        <is>
          <t>ShareBasedCompensation</t>
        </is>
      </c>
      <c r="G224" s="10" t="inlineStr">
        <is>
          <t>10-K</t>
        </is>
      </c>
      <c r="H224" s="64" t="inlineStr">
        <is>
          <t>0000320187-22-000038</t>
        </is>
      </c>
      <c r="I224" s="10" t="inlineStr">
        <is>
          <t>2022-07-21</t>
        </is>
      </c>
    </row>
    <row r="225">
      <c r="B225" s="10" t="inlineStr">
        <is>
          <t>Stock-based compensation</t>
        </is>
      </c>
      <c r="C225" s="17" t="n">
        <v>2021</v>
      </c>
      <c r="D225" s="10" t="inlineStr">
        <is>
          <t>2021-05-31</t>
        </is>
      </c>
      <c r="E225" s="63" t="n">
        <v>611</v>
      </c>
      <c r="F225" s="10" t="inlineStr">
        <is>
          <t>ShareBasedCompensation</t>
        </is>
      </c>
      <c r="G225" s="10" t="inlineStr">
        <is>
          <t>10-K</t>
        </is>
      </c>
      <c r="H225" s="64" t="inlineStr">
        <is>
          <t>0000320187-23-000039</t>
        </is>
      </c>
      <c r="I225" s="10" t="inlineStr">
        <is>
          <t>2023-07-20</t>
        </is>
      </c>
    </row>
    <row r="226">
      <c r="B226" s="10" t="inlineStr">
        <is>
          <t>Stock-based compensation</t>
        </is>
      </c>
      <c r="C226" s="17" t="n">
        <v>2022</v>
      </c>
      <c r="D226" s="10" t="inlineStr">
        <is>
          <t>2022-05-31</t>
        </is>
      </c>
      <c r="E226" s="63" t="n">
        <v>638</v>
      </c>
      <c r="F226" s="10" t="inlineStr">
        <is>
          <t>ShareBasedCompensation</t>
        </is>
      </c>
      <c r="G226" s="10" t="inlineStr">
        <is>
          <t>10-K</t>
        </is>
      </c>
      <c r="H226" s="64" t="inlineStr">
        <is>
          <t>0000320187-24-000044</t>
        </is>
      </c>
      <c r="I226" s="10" t="inlineStr">
        <is>
          <t>2024-07-25</t>
        </is>
      </c>
    </row>
    <row r="227">
      <c r="B227" s="10" t="inlineStr">
        <is>
          <t>Stock-based compensation</t>
        </is>
      </c>
      <c r="C227" s="17" t="n">
        <v>2023</v>
      </c>
      <c r="D227" s="10" t="inlineStr">
        <is>
          <t>2023-05-31</t>
        </is>
      </c>
      <c r="E227" s="63" t="n">
        <v>755</v>
      </c>
      <c r="F227" s="10" t="inlineStr">
        <is>
          <t>ShareBasedCompensation</t>
        </is>
      </c>
      <c r="G227" s="10" t="inlineStr">
        <is>
          <t>10-K</t>
        </is>
      </c>
      <c r="H227" s="64" t="inlineStr">
        <is>
          <t>0000320187-25-000047</t>
        </is>
      </c>
      <c r="I227" s="10" t="inlineStr">
        <is>
          <t>2025-07-17</t>
        </is>
      </c>
    </row>
    <row r="228">
      <c r="B228" s="10" t="inlineStr">
        <is>
          <t>Stock-based compensation</t>
        </is>
      </c>
      <c r="C228" s="17" t="n">
        <v>2024</v>
      </c>
      <c r="D228" s="10" t="inlineStr">
        <is>
          <t>2024-05-31</t>
        </is>
      </c>
      <c r="E228" s="63" t="n">
        <v>804</v>
      </c>
      <c r="F228" s="10" t="inlineStr">
        <is>
          <t>ShareBasedCompensation</t>
        </is>
      </c>
      <c r="G228" s="10" t="inlineStr">
        <is>
          <t>10-K</t>
        </is>
      </c>
      <c r="H228" s="64" t="inlineStr">
        <is>
          <t>0000320187-26-000088</t>
        </is>
      </c>
      <c r="I228" s="10" t="inlineStr">
        <is>
          <t>2026-07-15</t>
        </is>
      </c>
    </row>
    <row r="229">
      <c r="B229" s="10" t="inlineStr">
        <is>
          <t>Stock-based compensation</t>
        </is>
      </c>
      <c r="C229" s="17" t="n">
        <v>2025</v>
      </c>
      <c r="D229" s="10" t="inlineStr">
        <is>
          <t>2025-05-31</t>
        </is>
      </c>
      <c r="E229" s="63" t="n">
        <v>709</v>
      </c>
      <c r="F229" s="10" t="inlineStr">
        <is>
          <t>ShareBasedCompensation</t>
        </is>
      </c>
      <c r="G229" s="10" t="inlineStr">
        <is>
          <t>10-K</t>
        </is>
      </c>
      <c r="H229" s="64" t="inlineStr">
        <is>
          <t>0000320187-26-000088</t>
        </is>
      </c>
      <c r="I229" s="10" t="inlineStr">
        <is>
          <t>2026-07-15</t>
        </is>
      </c>
    </row>
    <row r="230">
      <c r="B230" s="10" t="inlineStr">
        <is>
          <t>Stock-based compensation</t>
        </is>
      </c>
      <c r="C230" s="17" t="n">
        <v>2026</v>
      </c>
      <c r="D230" s="10" t="inlineStr">
        <is>
          <t>2026-05-31</t>
        </is>
      </c>
      <c r="E230" s="63" t="n">
        <v>715</v>
      </c>
      <c r="F230" s="10" t="inlineStr">
        <is>
          <t>ShareBasedCompensation</t>
        </is>
      </c>
      <c r="G230" s="10" t="inlineStr">
        <is>
          <t>10-K</t>
        </is>
      </c>
      <c r="H230" s="64" t="inlineStr">
        <is>
          <t>0000320187-26-000088</t>
        </is>
      </c>
      <c r="I230" s="10" t="inlineStr">
        <is>
          <t>2026-07-15</t>
        </is>
      </c>
    </row>
    <row r="231">
      <c r="B231" s="10" t="inlineStr">
        <is>
          <t>sga</t>
        </is>
      </c>
      <c r="C231" s="17" t="n">
        <v>2019</v>
      </c>
      <c r="D231" s="10" t="inlineStr">
        <is>
          <t>2019-05-31</t>
        </is>
      </c>
      <c r="E231" s="63" t="n">
        <v>12702</v>
      </c>
      <c r="F231" s="10" t="inlineStr">
        <is>
          <t>SellingGeneralAndAdministrativeExpense</t>
        </is>
      </c>
      <c r="G231" s="10" t="inlineStr">
        <is>
          <t>10-K</t>
        </is>
      </c>
      <c r="H231" s="64" t="inlineStr">
        <is>
          <t>0000320187-21-000028</t>
        </is>
      </c>
      <c r="I231" s="10" t="inlineStr">
        <is>
          <t>2021-07-20</t>
        </is>
      </c>
    </row>
    <row r="232">
      <c r="B232" s="10" t="inlineStr">
        <is>
          <t>sga</t>
        </is>
      </c>
      <c r="C232" s="17" t="n">
        <v>2020</v>
      </c>
      <c r="D232" s="10" t="inlineStr">
        <is>
          <t>2020-05-31</t>
        </is>
      </c>
      <c r="E232" s="63" t="n">
        <v>13126</v>
      </c>
      <c r="F232" s="10" t="inlineStr">
        <is>
          <t>SellingGeneralAndAdministrativeExpense</t>
        </is>
      </c>
      <c r="G232" s="10" t="inlineStr">
        <is>
          <t>10-K</t>
        </is>
      </c>
      <c r="H232" s="64" t="inlineStr">
        <is>
          <t>0000320187-22-000038</t>
        </is>
      </c>
      <c r="I232" s="10" t="inlineStr">
        <is>
          <t>2022-07-21</t>
        </is>
      </c>
    </row>
    <row r="233">
      <c r="B233" s="10" t="inlineStr">
        <is>
          <t>sga</t>
        </is>
      </c>
      <c r="C233" s="17" t="n">
        <v>2021</v>
      </c>
      <c r="D233" s="10" t="inlineStr">
        <is>
          <t>2021-05-31</t>
        </is>
      </c>
      <c r="E233" s="63" t="n">
        <v>13025</v>
      </c>
      <c r="F233" s="10" t="inlineStr">
        <is>
          <t>SellingGeneralAndAdministrativeExpense</t>
        </is>
      </c>
      <c r="G233" s="10" t="inlineStr">
        <is>
          <t>10-K</t>
        </is>
      </c>
      <c r="H233" s="64" t="inlineStr">
        <is>
          <t>0000320187-23-000039</t>
        </is>
      </c>
      <c r="I233" s="10" t="inlineStr">
        <is>
          <t>2023-07-20</t>
        </is>
      </c>
    </row>
    <row r="234">
      <c r="B234" s="10" t="inlineStr">
        <is>
          <t>sga</t>
        </is>
      </c>
      <c r="C234" s="17" t="n">
        <v>2022</v>
      </c>
      <c r="D234" s="10" t="inlineStr">
        <is>
          <t>2022-05-31</t>
        </is>
      </c>
      <c r="E234" s="63" t="n">
        <v>14804</v>
      </c>
      <c r="F234" s="10" t="inlineStr">
        <is>
          <t>SellingGeneralAndAdministrativeExpense</t>
        </is>
      </c>
      <c r="G234" s="10" t="inlineStr">
        <is>
          <t>10-K</t>
        </is>
      </c>
      <c r="H234" s="64" t="inlineStr">
        <is>
          <t>0000320187-24-000044</t>
        </is>
      </c>
      <c r="I234" s="10" t="inlineStr">
        <is>
          <t>2024-07-25</t>
        </is>
      </c>
    </row>
    <row r="235">
      <c r="B235" s="10" t="inlineStr">
        <is>
          <t>sga</t>
        </is>
      </c>
      <c r="C235" s="17" t="n">
        <v>2023</v>
      </c>
      <c r="D235" s="10" t="inlineStr">
        <is>
          <t>2023-05-31</t>
        </is>
      </c>
      <c r="E235" s="63" t="n">
        <v>16377</v>
      </c>
      <c r="F235" s="10" t="inlineStr">
        <is>
          <t>SellingGeneralAndAdministrativeExpense</t>
        </is>
      </c>
      <c r="G235" s="10" t="inlineStr">
        <is>
          <t>10-K</t>
        </is>
      </c>
      <c r="H235" s="64" t="inlineStr">
        <is>
          <t>0000320187-25-000047</t>
        </is>
      </c>
      <c r="I235" s="10" t="inlineStr">
        <is>
          <t>2025-07-17</t>
        </is>
      </c>
    </row>
    <row r="236">
      <c r="B236" s="10" t="inlineStr">
        <is>
          <t>sga</t>
        </is>
      </c>
      <c r="C236" s="17" t="n">
        <v>2024</v>
      </c>
      <c r="D236" s="10" t="inlineStr">
        <is>
          <t>2024-05-31</t>
        </is>
      </c>
      <c r="E236" s="63" t="n">
        <v>16576</v>
      </c>
      <c r="F236" s="10" t="inlineStr">
        <is>
          <t>SellingGeneralAndAdministrativeExpense</t>
        </is>
      </c>
      <c r="G236" s="10" t="inlineStr">
        <is>
          <t>10-K</t>
        </is>
      </c>
      <c r="H236" s="64" t="inlineStr">
        <is>
          <t>0000320187-26-000088</t>
        </is>
      </c>
      <c r="I236" s="10" t="inlineStr">
        <is>
          <t>2026-07-15</t>
        </is>
      </c>
    </row>
    <row r="237">
      <c r="B237" s="10" t="inlineStr">
        <is>
          <t>sga</t>
        </is>
      </c>
      <c r="C237" s="17" t="n">
        <v>2025</v>
      </c>
      <c r="D237" s="10" t="inlineStr">
        <is>
          <t>2025-05-31</t>
        </is>
      </c>
      <c r="E237" s="63" t="n">
        <v>16088</v>
      </c>
      <c r="F237" s="10" t="inlineStr">
        <is>
          <t>SellingGeneralAndAdministrativeExpense</t>
        </is>
      </c>
      <c r="G237" s="10" t="inlineStr">
        <is>
          <t>10-K</t>
        </is>
      </c>
      <c r="H237" s="64" t="inlineStr">
        <is>
          <t>0000320187-26-000088</t>
        </is>
      </c>
      <c r="I237" s="10" t="inlineStr">
        <is>
          <t>2026-07-15</t>
        </is>
      </c>
    </row>
    <row r="238">
      <c r="B238" s="10" t="inlineStr">
        <is>
          <t>sga</t>
        </is>
      </c>
      <c r="C238" s="17" t="n">
        <v>2026</v>
      </c>
      <c r="D238" s="10" t="inlineStr">
        <is>
          <t>2026-05-31</t>
        </is>
      </c>
      <c r="E238" s="63" t="n">
        <v>16114</v>
      </c>
      <c r="F238" s="10" t="inlineStr">
        <is>
          <t>SellingGeneralAndAdministrativeExpense</t>
        </is>
      </c>
      <c r="G238" s="10" t="inlineStr">
        <is>
          <t>10-K</t>
        </is>
      </c>
      <c r="H238" s="64" t="inlineStr">
        <is>
          <t>0000320187-26-000088</t>
        </is>
      </c>
      <c r="I238" s="10" t="inlineStr">
        <is>
          <t>2026-07-15</t>
        </is>
      </c>
    </row>
    <row r="239">
      <c r="B239" s="10" t="inlineStr">
        <is>
          <t>st_borrowings</t>
        </is>
      </c>
      <c r="C239" s="17" t="n">
        <v>2019</v>
      </c>
      <c r="D239" s="10" t="inlineStr">
        <is>
          <t>2019-05-31</t>
        </is>
      </c>
      <c r="E239" s="63" t="n">
        <v>9</v>
      </c>
      <c r="F239" s="10" t="inlineStr">
        <is>
          <t>ShortTermBorrowings</t>
        </is>
      </c>
      <c r="G239" s="10" t="inlineStr">
        <is>
          <t>10-K</t>
        </is>
      </c>
      <c r="H239" s="64" t="inlineStr">
        <is>
          <t>0000320187-20-000047</t>
        </is>
      </c>
      <c r="I239" s="10" t="inlineStr">
        <is>
          <t>2020-07-24</t>
        </is>
      </c>
    </row>
    <row r="240">
      <c r="B240" s="10" t="inlineStr">
        <is>
          <t>st_borrowings</t>
        </is>
      </c>
      <c r="C240" s="17" t="n">
        <v>2020</v>
      </c>
      <c r="D240" s="10" t="inlineStr">
        <is>
          <t>2020-05-31</t>
        </is>
      </c>
      <c r="E240" s="63" t="n">
        <v>248</v>
      </c>
      <c r="F240" s="10" t="inlineStr">
        <is>
          <t>ShortTermBorrowings</t>
        </is>
      </c>
      <c r="G240" s="10" t="inlineStr">
        <is>
          <t>10-K</t>
        </is>
      </c>
      <c r="H240" s="64" t="inlineStr">
        <is>
          <t>0000320187-21-000028</t>
        </is>
      </c>
      <c r="I240" s="10" t="inlineStr">
        <is>
          <t>2021-07-20</t>
        </is>
      </c>
    </row>
    <row r="241">
      <c r="B241" s="10" t="inlineStr">
        <is>
          <t>st_borrowings</t>
        </is>
      </c>
      <c r="C241" s="17" t="n">
        <v>2021</v>
      </c>
      <c r="D241" s="10" t="inlineStr">
        <is>
          <t>2021-05-31</t>
        </is>
      </c>
      <c r="E241" s="63" t="n">
        <v>2</v>
      </c>
      <c r="F241" s="10" t="inlineStr">
        <is>
          <t>ShortTermBorrowings</t>
        </is>
      </c>
      <c r="G241" s="10" t="inlineStr">
        <is>
          <t>10-K</t>
        </is>
      </c>
      <c r="H241" s="64" t="inlineStr">
        <is>
          <t>0000320187-22-000038</t>
        </is>
      </c>
      <c r="I241" s="10" t="inlineStr">
        <is>
          <t>2022-07-21</t>
        </is>
      </c>
    </row>
    <row r="242">
      <c r="B242" s="10" t="inlineStr">
        <is>
          <t>st_borrowings</t>
        </is>
      </c>
      <c r="C242" s="17" t="n">
        <v>2022</v>
      </c>
      <c r="D242" s="10" t="inlineStr">
        <is>
          <t>2022-05-31</t>
        </is>
      </c>
      <c r="E242" s="63" t="n">
        <v>10</v>
      </c>
      <c r="F242" s="10" t="inlineStr">
        <is>
          <t>ShortTermBorrowings</t>
        </is>
      </c>
      <c r="G242" s="10" t="inlineStr">
        <is>
          <t>10-K</t>
        </is>
      </c>
      <c r="H242" s="64" t="inlineStr">
        <is>
          <t>0000320187-23-000039</t>
        </is>
      </c>
      <c r="I242" s="10" t="inlineStr">
        <is>
          <t>2023-07-20</t>
        </is>
      </c>
    </row>
    <row r="243">
      <c r="B243" s="10" t="inlineStr">
        <is>
          <t>st_borrowings</t>
        </is>
      </c>
      <c r="C243" s="17" t="n">
        <v>2023</v>
      </c>
      <c r="D243" s="10" t="inlineStr">
        <is>
          <t>2023-05-31</t>
        </is>
      </c>
      <c r="E243" s="63" t="n">
        <v>6</v>
      </c>
      <c r="F243" s="10" t="inlineStr">
        <is>
          <t>ShortTermBorrowings</t>
        </is>
      </c>
      <c r="G243" s="10" t="inlineStr">
        <is>
          <t>10-K</t>
        </is>
      </c>
      <c r="H243" s="64" t="inlineStr">
        <is>
          <t>0000320187-24-000044</t>
        </is>
      </c>
      <c r="I243" s="10" t="inlineStr">
        <is>
          <t>2024-07-25</t>
        </is>
      </c>
    </row>
    <row r="244">
      <c r="B244" s="10" t="inlineStr">
        <is>
          <t>st_borrowings</t>
        </is>
      </c>
      <c r="C244" s="17" t="n">
        <v>2024</v>
      </c>
      <c r="D244" s="10" t="inlineStr">
        <is>
          <t>2024-05-31</t>
        </is>
      </c>
      <c r="E244" s="63" t="n">
        <v>6</v>
      </c>
      <c r="F244" s="10" t="inlineStr">
        <is>
          <t>ShortTermBorrowings</t>
        </is>
      </c>
      <c r="G244" s="10" t="inlineStr">
        <is>
          <t>10-K</t>
        </is>
      </c>
      <c r="H244" s="64" t="inlineStr">
        <is>
          <t>0000320187-25-000047</t>
        </is>
      </c>
      <c r="I244" s="10" t="inlineStr">
        <is>
          <t>2025-07-17</t>
        </is>
      </c>
    </row>
    <row r="245">
      <c r="B245" s="10" t="inlineStr">
        <is>
          <t>st_borrowings</t>
        </is>
      </c>
      <c r="C245" s="17" t="n">
        <v>2025</v>
      </c>
      <c r="D245" s="10" t="inlineStr">
        <is>
          <t>2025-05-31</t>
        </is>
      </c>
      <c r="E245" s="63" t="n">
        <v>5</v>
      </c>
      <c r="F245" s="10" t="inlineStr">
        <is>
          <t>ShortTermBorrowings</t>
        </is>
      </c>
      <c r="G245" s="10" t="inlineStr">
        <is>
          <t>10-K</t>
        </is>
      </c>
      <c r="H245" s="64" t="inlineStr">
        <is>
          <t>0000320187-25-000047</t>
        </is>
      </c>
      <c r="I245" s="10" t="inlineStr">
        <is>
          <t>2025-07-17</t>
        </is>
      </c>
    </row>
    <row r="246">
      <c r="B246" s="10" t="inlineStr">
        <is>
          <t>Short-term investments</t>
        </is>
      </c>
      <c r="C246" s="17" t="n">
        <v>2019</v>
      </c>
      <c r="D246" s="10" t="inlineStr">
        <is>
          <t>2019-05-31</t>
        </is>
      </c>
      <c r="E246" s="63" t="n">
        <v>197</v>
      </c>
      <c r="F246" s="10" t="inlineStr">
        <is>
          <t>AvailableForSaleSecuritiesDebtSecuritiesCurrent</t>
        </is>
      </c>
      <c r="G246" s="10" t="inlineStr">
        <is>
          <t>10-K</t>
        </is>
      </c>
      <c r="H246" s="64" t="inlineStr">
        <is>
          <t>0000320187-20-000047</t>
        </is>
      </c>
      <c r="I246" s="10" t="inlineStr">
        <is>
          <t>2020-07-24</t>
        </is>
      </c>
    </row>
    <row r="247">
      <c r="B247" s="10" t="inlineStr">
        <is>
          <t>Short-term investments</t>
        </is>
      </c>
      <c r="C247" s="17" t="n">
        <v>2020</v>
      </c>
      <c r="D247" s="10" t="inlineStr">
        <is>
          <t>2020-05-31</t>
        </is>
      </c>
      <c r="E247" s="63" t="n">
        <v>439</v>
      </c>
      <c r="F247" s="10" t="inlineStr">
        <is>
          <t>AvailableForSaleSecuritiesDebtSecuritiesCurrent</t>
        </is>
      </c>
      <c r="G247" s="10" t="inlineStr">
        <is>
          <t>10-K</t>
        </is>
      </c>
      <c r="H247" s="64" t="inlineStr">
        <is>
          <t>0000320187-21-000028</t>
        </is>
      </c>
      <c r="I247" s="10" t="inlineStr">
        <is>
          <t>2021-07-20</t>
        </is>
      </c>
    </row>
    <row r="248">
      <c r="B248" s="10" t="inlineStr">
        <is>
          <t>Short-term investments</t>
        </is>
      </c>
      <c r="C248" s="17" t="n">
        <v>2021</v>
      </c>
      <c r="D248" s="10" t="inlineStr">
        <is>
          <t>2021-05-31</t>
        </is>
      </c>
      <c r="E248" s="63" t="n">
        <v>3587</v>
      </c>
      <c r="F248" s="10" t="inlineStr">
        <is>
          <t>AvailableForSaleSecuritiesDebtSecuritiesCurrent</t>
        </is>
      </c>
      <c r="G248" s="10" t="inlineStr">
        <is>
          <t>10-K</t>
        </is>
      </c>
      <c r="H248" s="64" t="inlineStr">
        <is>
          <t>0000320187-21-000028</t>
        </is>
      </c>
      <c r="I248" s="10" t="inlineStr">
        <is>
          <t>2021-07-20</t>
        </is>
      </c>
    </row>
    <row r="249">
      <c r="B249" s="10" t="inlineStr">
        <is>
          <t>Short-term investments</t>
        </is>
      </c>
      <c r="C249" s="17" t="n">
        <v>2022</v>
      </c>
      <c r="D249" s="10" t="inlineStr">
        <is>
          <t>2022-05-31</t>
        </is>
      </c>
      <c r="E249" s="63" t="n">
        <v>4423</v>
      </c>
      <c r="F249" s="10" t="inlineStr">
        <is>
          <t>DebtSecuritiesAvailableForSaleExcludingAccruedInterestCurrent</t>
        </is>
      </c>
      <c r="G249" s="10" t="inlineStr">
        <is>
          <t>10-K</t>
        </is>
      </c>
      <c r="H249" s="64" t="inlineStr">
        <is>
          <t>0000320187-23-000039</t>
        </is>
      </c>
      <c r="I249" s="10" t="inlineStr">
        <is>
          <t>2023-07-20</t>
        </is>
      </c>
    </row>
    <row r="250">
      <c r="B250" s="10" t="inlineStr">
        <is>
          <t>Short-term investments</t>
        </is>
      </c>
      <c r="C250" s="17" t="n">
        <v>2023</v>
      </c>
      <c r="D250" s="10" t="inlineStr">
        <is>
          <t>2023-05-31</t>
        </is>
      </c>
      <c r="E250" s="63" t="n">
        <v>3234</v>
      </c>
      <c r="F250" s="10" t="inlineStr">
        <is>
          <t>DebtSecuritiesAvailableForSaleExcludingAccruedInterestCurrent</t>
        </is>
      </c>
      <c r="G250" s="10" t="inlineStr">
        <is>
          <t>10-K</t>
        </is>
      </c>
      <c r="H250" s="64" t="inlineStr">
        <is>
          <t>0000320187-24-000044</t>
        </is>
      </c>
      <c r="I250" s="10" t="inlineStr">
        <is>
          <t>2024-07-25</t>
        </is>
      </c>
    </row>
    <row r="251">
      <c r="B251" s="10" t="inlineStr">
        <is>
          <t>Short-term investments</t>
        </is>
      </c>
      <c r="C251" s="17" t="n">
        <v>2024</v>
      </c>
      <c r="D251" s="10" t="inlineStr">
        <is>
          <t>2024-05-31</t>
        </is>
      </c>
      <c r="E251" s="63" t="n">
        <v>1722</v>
      </c>
      <c r="F251" s="10" t="inlineStr">
        <is>
          <t>DebtSecuritiesAvailableForSaleExcludingAccruedInterestCurrent</t>
        </is>
      </c>
      <c r="G251" s="10" t="inlineStr">
        <is>
          <t>10-K</t>
        </is>
      </c>
      <c r="H251" s="64" t="inlineStr">
        <is>
          <t>0000320187-25-000047</t>
        </is>
      </c>
      <c r="I251" s="10" t="inlineStr">
        <is>
          <t>2025-07-17</t>
        </is>
      </c>
    </row>
    <row r="252">
      <c r="B252" s="10" t="inlineStr">
        <is>
          <t>Short-term investments</t>
        </is>
      </c>
      <c r="C252" s="17" t="n">
        <v>2025</v>
      </c>
      <c r="D252" s="10" t="inlineStr">
        <is>
          <t>2025-05-31</t>
        </is>
      </c>
      <c r="E252" s="63" t="n">
        <v>1687</v>
      </c>
      <c r="F252" s="10" t="inlineStr">
        <is>
          <t>DebtSecuritiesAvailableForSaleExcludingAccruedInterestCurrent</t>
        </is>
      </c>
      <c r="G252" s="10" t="inlineStr">
        <is>
          <t>10-K</t>
        </is>
      </c>
      <c r="H252" s="64" t="inlineStr">
        <is>
          <t>0000320187-26-000088</t>
        </is>
      </c>
      <c r="I252" s="10" t="inlineStr">
        <is>
          <t>2026-07-15</t>
        </is>
      </c>
    </row>
    <row r="253">
      <c r="B253" s="10" t="inlineStr">
        <is>
          <t>Short-term investments</t>
        </is>
      </c>
      <c r="C253" s="17" t="n">
        <v>2026</v>
      </c>
      <c r="D253" s="10" t="inlineStr">
        <is>
          <t>2026-05-31</t>
        </is>
      </c>
      <c r="E253" s="63" t="n">
        <v>1464</v>
      </c>
      <c r="F253" s="10" t="inlineStr">
        <is>
          <t>DebtSecuritiesAvailableForSaleExcludingAccruedInterestCurrent</t>
        </is>
      </c>
      <c r="G253" s="10" t="inlineStr">
        <is>
          <t>10-K</t>
        </is>
      </c>
      <c r="H253" s="64" t="inlineStr">
        <is>
          <t>0000320187-26-000088</t>
        </is>
      </c>
      <c r="I253" s="10" t="inlineStr">
        <is>
          <t>2026-07-15</t>
        </is>
      </c>
    </row>
    <row r="254">
      <c r="B254" s="10" t="inlineStr">
        <is>
          <t>Total assets</t>
        </is>
      </c>
      <c r="C254" s="17" t="n">
        <v>2019</v>
      </c>
      <c r="D254" s="10" t="inlineStr">
        <is>
          <t>2019-05-31</t>
        </is>
      </c>
      <c r="E254" s="63" t="n">
        <v>23717</v>
      </c>
      <c r="F254" s="10" t="inlineStr">
        <is>
          <t>Assets</t>
        </is>
      </c>
      <c r="G254" s="10" t="inlineStr">
        <is>
          <t>10-K</t>
        </is>
      </c>
      <c r="H254" s="64" t="inlineStr">
        <is>
          <t>0000320187-20-000047</t>
        </is>
      </c>
      <c r="I254" s="10" t="inlineStr">
        <is>
          <t>2020-07-24</t>
        </is>
      </c>
    </row>
    <row r="255">
      <c r="B255" s="10" t="inlineStr">
        <is>
          <t>Total assets</t>
        </is>
      </c>
      <c r="C255" s="17" t="n">
        <v>2020</v>
      </c>
      <c r="D255" s="10" t="inlineStr">
        <is>
          <t>2020-05-31</t>
        </is>
      </c>
      <c r="E255" s="63" t="n">
        <v>31342</v>
      </c>
      <c r="F255" s="10" t="inlineStr">
        <is>
          <t>Assets</t>
        </is>
      </c>
      <c r="G255" s="10" t="inlineStr">
        <is>
          <t>10-K</t>
        </is>
      </c>
      <c r="H255" s="64" t="inlineStr">
        <is>
          <t>0000320187-21-000028</t>
        </is>
      </c>
      <c r="I255" s="10" t="inlineStr">
        <is>
          <t>2021-07-20</t>
        </is>
      </c>
    </row>
    <row r="256">
      <c r="B256" s="10" t="inlineStr">
        <is>
          <t>Total assets</t>
        </is>
      </c>
      <c r="C256" s="17" t="n">
        <v>2021</v>
      </c>
      <c r="D256" s="10" t="inlineStr">
        <is>
          <t>2021-05-31</t>
        </is>
      </c>
      <c r="E256" s="63" t="n">
        <v>37740</v>
      </c>
      <c r="F256" s="10" t="inlineStr">
        <is>
          <t>Assets</t>
        </is>
      </c>
      <c r="G256" s="10" t="inlineStr">
        <is>
          <t>10-K</t>
        </is>
      </c>
      <c r="H256" s="64" t="inlineStr">
        <is>
          <t>0000320187-22-000038</t>
        </is>
      </c>
      <c r="I256" s="10" t="inlineStr">
        <is>
          <t>2022-07-21</t>
        </is>
      </c>
    </row>
    <row r="257">
      <c r="B257" s="10" t="inlineStr">
        <is>
          <t>Total assets</t>
        </is>
      </c>
      <c r="C257" s="17" t="n">
        <v>2022</v>
      </c>
      <c r="D257" s="10" t="inlineStr">
        <is>
          <t>2022-05-31</t>
        </is>
      </c>
      <c r="E257" s="63" t="n">
        <v>40321</v>
      </c>
      <c r="F257" s="10" t="inlineStr">
        <is>
          <t>Assets</t>
        </is>
      </c>
      <c r="G257" s="10" t="inlineStr">
        <is>
          <t>10-K</t>
        </is>
      </c>
      <c r="H257" s="64" t="inlineStr">
        <is>
          <t>0000320187-23-000039</t>
        </is>
      </c>
      <c r="I257" s="10" t="inlineStr">
        <is>
          <t>2023-07-20</t>
        </is>
      </c>
    </row>
    <row r="258">
      <c r="B258" s="10" t="inlineStr">
        <is>
          <t>Total assets</t>
        </is>
      </c>
      <c r="C258" s="17" t="n">
        <v>2023</v>
      </c>
      <c r="D258" s="10" t="inlineStr">
        <is>
          <t>2023-05-31</t>
        </is>
      </c>
      <c r="E258" s="63" t="n">
        <v>37531</v>
      </c>
      <c r="F258" s="10" t="inlineStr">
        <is>
          <t>Assets</t>
        </is>
      </c>
      <c r="G258" s="10" t="inlineStr">
        <is>
          <t>10-K</t>
        </is>
      </c>
      <c r="H258" s="64" t="inlineStr">
        <is>
          <t>0000320187-24-000044</t>
        </is>
      </c>
      <c r="I258" s="10" t="inlineStr">
        <is>
          <t>2024-07-25</t>
        </is>
      </c>
    </row>
    <row r="259">
      <c r="B259" s="10" t="inlineStr">
        <is>
          <t>Total assets</t>
        </is>
      </c>
      <c r="C259" s="17" t="n">
        <v>2024</v>
      </c>
      <c r="D259" s="10" t="inlineStr">
        <is>
          <t>2024-05-31</t>
        </is>
      </c>
      <c r="E259" s="63" t="n">
        <v>38110</v>
      </c>
      <c r="F259" s="10" t="inlineStr">
        <is>
          <t>Assets</t>
        </is>
      </c>
      <c r="G259" s="10" t="inlineStr">
        <is>
          <t>10-K</t>
        </is>
      </c>
      <c r="H259" s="64" t="inlineStr">
        <is>
          <t>0000320187-25-000047</t>
        </is>
      </c>
      <c r="I259" s="10" t="inlineStr">
        <is>
          <t>2025-07-17</t>
        </is>
      </c>
    </row>
    <row r="260">
      <c r="B260" s="10" t="inlineStr">
        <is>
          <t>Total assets</t>
        </is>
      </c>
      <c r="C260" s="17" t="n">
        <v>2025</v>
      </c>
      <c r="D260" s="10" t="inlineStr">
        <is>
          <t>2025-05-31</t>
        </is>
      </c>
      <c r="E260" s="63" t="n">
        <v>36579</v>
      </c>
      <c r="F260" s="10" t="inlineStr">
        <is>
          <t>Assets</t>
        </is>
      </c>
      <c r="G260" s="10" t="inlineStr">
        <is>
          <t>10-K</t>
        </is>
      </c>
      <c r="H260" s="64" t="inlineStr">
        <is>
          <t>0000320187-26-000088</t>
        </is>
      </c>
      <c r="I260" s="10" t="inlineStr">
        <is>
          <t>2026-07-15</t>
        </is>
      </c>
    </row>
    <row r="261">
      <c r="B261" s="10" t="inlineStr">
        <is>
          <t>Total assets</t>
        </is>
      </c>
      <c r="C261" s="17" t="n">
        <v>2026</v>
      </c>
      <c r="D261" s="10" t="inlineStr">
        <is>
          <t>2026-05-31</t>
        </is>
      </c>
      <c r="E261" s="63" t="n">
        <v>38410</v>
      </c>
      <c r="F261" s="10" t="inlineStr">
        <is>
          <t>Assets</t>
        </is>
      </c>
      <c r="G261" s="10" t="inlineStr">
        <is>
          <t>10-K</t>
        </is>
      </c>
      <c r="H261" s="64" t="inlineStr">
        <is>
          <t>0000320187-26-000088</t>
        </is>
      </c>
      <c r="I261" s="10" t="inlineStr">
        <is>
          <t>2026-07-15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2026-10-12T16:13:05Z</dcterms:created>
  <dcterms:modified xmlns:dcterms="http://purl.org/dc/terms/" xmlns:xsi="http://www.w3.org/2001/XMLSchema-instance" xsi:type="dcterms:W3CDTF">2026-10-12T16:13:05Z</dcterms:modified>
</cp:coreProperties>
</file>
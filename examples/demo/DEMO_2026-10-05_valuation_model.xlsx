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WACC" sheetId="4" state="visible" r:id="rId6"/>
    <sheet name="DCF" sheetId="5" state="visible" r:id="rId7"/>
    <sheet name="Sensitivity" sheetId="6" state="visible" r:id="rId8"/>
    <sheet name="Comps" sheetId="7" state="visible" r:id="rId9"/>
    <sheet name="Valuation" sheetId="8" state="visible" r:id="rId10"/>
    <sheet name="Benchmark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<sst xmlns="http://schemas.openxmlformats.org/spreadsheetml/2006/main" count="1900" uniqueCount="348">
  <si>
    <t xml:space="preserve">TICKER-TO-THESIS · EQUITY RESEARCH MODEL</t>
  </si>
  <si>
    <t xml:space="preserve">Demo Athletic Brands Inc. (DEMO)</t>
  </si>
  <si>
    <t xml:space="preserve">Rubber &amp; Plastics Footwear · fiscal year ends 05/31 · model date 2026-10-05</t>
  </si>
  <si>
    <t xml:space="preserve">Rating</t>
  </si>
  <si>
    <t xml:space="preserve">Price target ($)</t>
  </si>
  <si>
    <t xml:space="preserve">Current price ($)</t>
  </si>
  <si>
    <t xml:space="preserve">Upside / (downside)</t>
  </si>
  <si>
    <t xml:space="preserve">Market cap ($m)</t>
  </si>
  <si>
    <t xml:space="preserve">Enterprise value ($m)</t>
  </si>
  <si>
    <t xml:space="preserve">WACC</t>
  </si>
  <si>
    <t xml:space="preserve">DCF value per share, perpetuity ($)</t>
  </si>
  <si>
    <t xml:space="preserve">DCF value per share, exit multiple ($)</t>
  </si>
  <si>
    <t xml:space="preserve">How to use this model</t>
  </si>
  <si>
    <t xml:space="preserve">1. Assumptions: change blue/yellow cells (growth, margins, ERP, terminal growth, exit multiple) or switch the scenario.</t>
  </si>
  <si>
    <t xml:space="preserve">2. DCF and Sensitivity recalculate live; Valuation shows the football field, blended price target and rating.</t>
  </si>
  <si>
    <t xml:space="preserve">3. Comps: peer multiples and implied values. Benchmark: target vs peer distribution and trends.</t>
  </si>
  <si>
    <t xml:space="preserve">4. Sources: the XBRL tag and SEC filing behind every historical number.</t>
  </si>
  <si>
    <t xml:space="preserve">5. Colour code: blue = input, black = formula, green = link to another sheet, yellow fill = key assumption.</t>
  </si>
  <si>
    <t xml:space="preserve">DEMO DATA: fictional companies, for testing only.</t>
  </si>
  <si>
    <t xml:space="preserve">Educational project generated from public SEC filings and market data. Not investment advice.</t>
  </si>
  <si>
    <t xml:space="preserve">Demo Athletic Brands Inc. (DEMO): assumptions</t>
  </si>
  <si>
    <t xml:space="preserve">Blue = input. Yellow = key assumption. Edit these cells; everything else recalculates.</t>
  </si>
  <si>
    <t xml:space="preserve">Scenario</t>
  </si>
  <si>
    <t xml:space="preserve">Active scenario (1 = Base, 2 = Bear, 3 = Bull)</t>
  </si>
  <si>
    <t xml:space="preserve">Market &amp; valuation inputs</t>
  </si>
  <si>
    <t xml:space="preserve">Risk-free rate (10-year Treasury)</t>
  </si>
  <si>
    <t xml:space="preserve">Fixture value</t>
  </si>
  <si>
    <t xml:space="preserve">Equity risk premium</t>
  </si>
  <si>
    <t xml:space="preserve">Config assumption; update from Damodaran's latest implied ERP.</t>
  </si>
  <si>
    <t xml:space="preserve">Marginal tax rate (debt shield, beta unlevering)</t>
  </si>
  <si>
    <t xml:space="preserve">US federal 21% + typical state.</t>
  </si>
  <si>
    <t xml:space="preserve">Credit spread (synthetic rating AA)</t>
  </si>
  <si>
    <t xml:space="preserve">Interest coverage 6.8x maps to AA; spread after Damodaran's table (approximate).</t>
  </si>
  <si>
    <t xml:space="preserve">Terminal growth rate</t>
  </si>
  <si>
    <t xml:space="preserve">Long-run nominal growth assumption (config).</t>
  </si>
  <si>
    <t xml:space="preserve">Exit multiple (EV / EBITDA)</t>
  </si>
  <si>
    <t xml:space="preserve">Peer median EV / EBITDA (latest fiscal year).</t>
  </si>
  <si>
    <t xml:space="preserve">Minimum WACC spread over terminal growth</t>
  </si>
  <si>
    <t xml:space="preserve">Sanity floor.</t>
  </si>
  <si>
    <t xml:space="preserve">Mid-year discounting (1 = on, 0 = off)</t>
  </si>
  <si>
    <t xml:space="preserve">Cash flows arrive mid-year on average.</t>
  </si>
  <si>
    <t xml:space="preserve">Market data (latest balance sheet 2025-08-31; $m except per share)</t>
  </si>
  <si>
    <t xml:space="preserve">Share price ($)</t>
  </si>
  <si>
    <t xml:space="preserve">Latest close, 2026-10-05.</t>
  </si>
  <si>
    <t xml:space="preserve">Shares outstanding (m)</t>
  </si>
  <si>
    <t xml:space="preserve">WeightedAverageNumberOfDilutedSharesOutstanding (latest period), 2025-08-31.</t>
  </si>
  <si>
    <t xml:space="preserve">Cash &amp; equivalents</t>
  </si>
  <si>
    <t xml:space="preserve">Latest 10-Q/10-K.</t>
  </si>
  <si>
    <t xml:space="preserve">Short-term investments</t>
  </si>
  <si>
    <t xml:space="preserve">Total debt (excl. operating leases)</t>
  </si>
  <si>
    <t xml:space="preserve">Long-term debt incl. current portion + short-term borrowings.</t>
  </si>
  <si>
    <t xml:space="preserve">Net debt</t>
  </si>
  <si>
    <t xml:space="preserve">Market capitalisation</t>
  </si>
  <si>
    <t xml:space="preserve">Operating drivers (base case)</t>
  </si>
  <si>
    <t xml:space="preserve">Driver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</si>
  <si>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</si>
  <si>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</si>
  <si>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</si>
  <si>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</si>
  <si>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</si>
  <si>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growth</t>
  </si>
  <si>
    <t xml:space="preserve">Year 1 = average of last year's growth and the 3-year CAGR (-1.9%, clipped to -10%–25%); fades linearly to 3.9% by year 5, halfway between the peer median growth rate and terminal growth.</t>
  </si>
  <si>
    <t xml:space="preserve">EBIT margin</t>
  </si>
  <si>
    <t xml:space="preserve">Moves linearly from the latest margin (7.0%) to 15.3% in year 5: 50% own 5-year average (10.6%) and 50% peer median (20.0%).</t>
  </si>
  <si>
    <t xml:space="preserve">Tax rate on EBIT</t>
  </si>
  <si>
    <t xml:space="preserve">3-year average effective tax rate, bounded 15–30%.</t>
  </si>
  <si>
    <t xml:space="preserve">D&amp;A % revenue</t>
  </si>
  <si>
    <t xml:space="preserve">3-year average D&amp;A / revenue.</t>
  </si>
  <si>
    <t xml:space="preserve">Capex % revenue</t>
  </si>
  <si>
    <t xml:space="preserve">3-year average capex / revenue.</t>
  </si>
  <si>
    <t xml:space="preserve">Working capital % revenue</t>
  </si>
  <si>
    <t xml:space="preserve">3-year average operating working capital (receivables + inventory − payables) / revenue.</t>
  </si>
  <si>
    <t xml:space="preserve">Scenario shifts (added to base case)</t>
  </si>
  <si>
    <t xml:space="preserve">Shift</t>
  </si>
  <si>
    <t xml:space="preserve">Base</t>
  </si>
  <si>
    <t xml:space="preserve">Bear</t>
  </si>
  <si>
    <t xml:space="preserve">Bull</t>
  </si>
  <si>
    <t xml:space="preserve">Revenue growth (each year)</t>
  </si>
  <si>
    <t xml:space="preserve">EBIT margin (each year)</t>
  </si>
  <si>
    <t xml:space="preserve">Terminal growth</t>
  </si>
  <si>
    <t xml:space="preserve">Price target weights &amp; rating thresholds</t>
  </si>
  <si>
    <t xml:space="preserve">Weight: DCF (perpetuity growth)</t>
  </si>
  <si>
    <t xml:space="preserve">Weight: DCF (exit multiple)</t>
  </si>
  <si>
    <t xml:space="preserve">Weight: trading comps (EV/EBITDA median)</t>
  </si>
  <si>
    <t xml:space="preserve">BUY if upside above</t>
  </si>
  <si>
    <t xml:space="preserve">SELL if upside below</t>
  </si>
  <si>
    <t xml:space="preserve">Demo Athletic Brands Inc.: standardised historical financials ($m)</t>
  </si>
  <si>
    <t xml:space="preserve">Source: SEC EDGAR XBRL (10-K). See Sources sheet for the tag and filing behind every value.</t>
  </si>
  <si>
    <t xml:space="preserve">Fiscal year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</si>
  <si>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</si>
  <si>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</si>
  <si>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</si>
  <si>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</si>
  <si>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</si>
  <si>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</si>
  <si>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</si>
  <si>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</si>
  <si>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</si>
  <si>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Cost of revenue</t>
  </si>
  <si>
    <t xml:space="preserve">Gross profit</t>
  </si>
  <si>
    <t xml:space="preserve">Operating income (EBIT)</t>
  </si>
  <si>
    <t xml:space="preserve">Depreciation &amp; amortisation</t>
  </si>
  <si>
    <t xml:space="preserve">EBITDA</t>
  </si>
  <si>
    <t xml:space="preserve">Interest expense</t>
  </si>
  <si>
    <t xml:space="preserve">Pre-tax income</t>
  </si>
  <si>
    <t xml:space="preserve">Income tax</t>
  </si>
  <si>
    <t xml:space="preserve">Net income</t>
  </si>
  <si>
    <t xml:space="preserve">Cash from operations</t>
  </si>
  <si>
    <t xml:space="preserve">Capital expenditure</t>
  </si>
  <si>
    <t xml:space="preserve">Free cash flow</t>
  </si>
  <si>
    <t xml:space="preserve">Stock-based compensation</t>
  </si>
  <si>
    <t xml:space="preserve">Dividends paid</t>
  </si>
  <si>
    <t xml:space="preserve">Share repurchases</t>
  </si>
  <si>
    <t xml:space="preserve">Accounts receivable</t>
  </si>
  <si>
    <t xml:space="preserve">Inventory</t>
  </si>
  <si>
    <t xml:space="preserve">Accounts payable</t>
  </si>
  <si>
    <t xml:space="preserve">Total assets</t>
  </si>
  <si>
    <t xml:space="preserve">Shareholders' equity</t>
  </si>
  <si>
    <t xml:space="preserve">Total debt</t>
  </si>
  <si>
    <t xml:space="preserve">Operating working capital</t>
  </si>
  <si>
    <t xml:space="preserve">Ratios (formulas)</t>
  </si>
  <si>
    <t xml:space="preserve">Gross margin</t>
  </si>
  <si>
    <t xml:space="preserve">EBITDA margin</t>
  </si>
  <si>
    <t xml:space="preserve">Net margin</t>
  </si>
  <si>
    <t xml:space="preserve">FCF margin</t>
  </si>
  <si>
    <t xml:space="preserve">Effective tax rate</t>
  </si>
  <si>
    <t xml:space="preserve">Net debt / EBITDA</t>
  </si>
  <si>
    <t xml:space="preserve">DEMO: cost of capital</t>
  </si>
  <si>
    <t xml:space="preserve">Bottom-up beta: peers' regression betas, unlevered, median, relevered at the target's capital structure.</t>
  </si>
  <si>
    <t xml:space="preserve">Company</t>
  </si>
  <si>
    <t xml:space="preserve">Raw beta (2y weekly)</t>
  </si>
  <si>
    <t xml:space="preserve">R²</t>
  </si>
  <si>
    <t xml:space="preserve">Adjusted beta</t>
  </si>
  <si>
    <t xml:space="preserve">Debt ($m)</t>
  </si>
  <si>
    <t xml:space="preserve">Debt / equity</t>
  </si>
  <si>
    <t xml:space="preserve">Unlevered beta</t>
  </si>
  <si>
    <t xml:space="preserve">Role</t>
  </si>
  <si>
    <t xml:space="preserve">DEMO</t>
  </si>
  <si>
    <t xml:space="preserve">Target</t>
  </si>
  <si>
    <t xml:space="preserve">PEERA</t>
  </si>
  <si>
    <t xml:space="preserve">Peer</t>
  </si>
  <si>
    <t xml:space="preserve">PEERB</t>
  </si>
  <si>
    <t xml:space="preserve">PEERC</t>
  </si>
  <si>
    <t xml:space="preserve">PEERD</t>
  </si>
  <si>
    <t xml:space="preserve">PEERE</t>
  </si>
  <si>
    <t xml:space="preserve">Median unlevered beta (peers)</t>
  </si>
  <si>
    <t xml:space="preserve">Target debt / equity (market)</t>
  </si>
  <si>
    <t xml:space="preserve">Relevered beta</t>
  </si>
  <si>
    <t xml:space="preserve">Target's own adjusted beta: 0.89 (shown for reference)</t>
  </si>
  <si>
    <t xml:space="preserve">Risk-free rate</t>
  </si>
  <si>
    <t xml:space="preserve">Cost of equity</t>
  </si>
  <si>
    <t xml:space="preserve">Pre-tax cost of debt (rf + spread)</t>
  </si>
  <si>
    <t xml:space="preserve">After-tax cost of debt</t>
  </si>
  <si>
    <t xml:space="preserve">Weight of equity</t>
  </si>
  <si>
    <t xml:space="preserve">Weight of debt</t>
  </si>
  <si>
    <t xml:space="preserve">WACC (calculated)</t>
  </si>
  <si>
    <t xml:space="preserve">WACC (after floor: terminal growth + min spread)</t>
  </si>
  <si>
    <t xml:space="preserve">WACC used (incl. scenario shift)</t>
  </si>
  <si>
    <t xml:space="preserve">DEMO: discounted cash flow ($m)</t>
  </si>
  <si>
    <t xml:space="preserve">Unlevered free cash flow = EBIT × (1 − tax) + D&amp;A − capex − Δ working capital. Mid-year discounting.</t>
  </si>
  <si>
    <t xml:space="preserve">FY2025A</t>
  </si>
  <si>
    <t xml:space="preserve">Year number</t>
  </si>
  <si>
    <t xml:space="preserve">EBIT</t>
  </si>
  <si>
    <t xml:space="preserve">Taxes on EBIT</t>
  </si>
  <si>
    <t xml:space="preserve">NOPAT</t>
  </si>
  <si>
    <t xml:space="preserve">D&amp;A</t>
  </si>
  <si>
    <t xml:space="preserve">Capex</t>
  </si>
  <si>
    <t xml:space="preserve">Working capital</t>
  </si>
  <si>
    <t xml:space="preserve">Δ Working capital</t>
  </si>
  <si>
    <t xml:space="preserve">Unlevered free cash flow</t>
  </si>
  <si>
    <t xml:space="preserve">Discount period (years)</t>
  </si>
  <si>
    <t xml:space="preserve">Discount factor</t>
  </si>
  <si>
    <t xml:space="preserve">PV of UFCF</t>
  </si>
  <si>
    <t xml:space="preserve">Perpetuity growth method</t>
  </si>
  <si>
    <t xml:space="preserve">Sum of PV of UFCF</t>
  </si>
  <si>
    <t xml:space="preserve">Terminal value</t>
  </si>
  <si>
    <t xml:space="preserve">Gordon growth: UFCF in year N × (1 + g) / (WACC − g), discounted from the end of year N.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</si>
  <si>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</si>
  <si>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</si>
  <si>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</si>
  <si>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</si>
  <si>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</si>
  <si>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% of EV</t>
  </si>
  <si>
    <t xml:space="preserve">Implied exit multiple (EV/EBITDA)</t>
  </si>
  <si>
    <t xml:space="preserve">Exit multiple method</t>
  </si>
  <si>
    <t xml:space="preserve">Exit multiple (EV/EBITDA)</t>
  </si>
  <si>
    <t xml:space="preserve">Implied perpetual growth</t>
  </si>
  <si>
    <t xml:space="preserve">DEMO: value per share sensitivity ($)</t>
  </si>
  <si>
    <t xml:space="preserve">Live formulas: each cell re-runs the DCF for that WACC and terminal assumption.</t>
  </si>
  <si>
    <t xml:space="preserve">WACC step</t>
  </si>
  <si>
    <t xml:space="preserve">g step</t>
  </si>
  <si>
    <t xml:space="preserve">Multiple step</t>
  </si>
  <si>
    <t xml:space="preserve">Perpetuity growth method: WACC (rows) × terminal growth (columns)</t>
  </si>
  <si>
    <t xml:space="preserve">WACC \ g</t>
  </si>
  <si>
    <t xml:space="preserve">Exit multiple method: WACC (rows) × EV/EBITDA exit multiple (columns)</t>
  </si>
  <si>
    <t xml:space="preserve">WACC \ multiple</t>
  </si>
  <si>
    <t xml:space="preserve">Current share price</t>
  </si>
  <si>
    <t xml:space="preserve">Trading comparables (latest fiscal year; $m except per share)</t>
  </si>
  <si>
    <t xml:space="preserve">Multiples on the latest reported fiscal year. Negative or extreme multiples are blanked (not meaningful).</t>
  </si>
  <si>
    <t xml:space="preserve">Ticker</t>
  </si>
  <si>
    <t xml:space="preserve">FY</t>
  </si>
  <si>
    <t xml:space="preserve">Price ($)</t>
  </si>
  <si>
    <t xml:space="preserve">Shares (m)</t>
  </si>
  <si>
    <t xml:space="preserve">Market cap</t>
  </si>
  <si>
    <t xml:space="preserve">Debt</t>
  </si>
  <si>
    <t xml:space="preserve">Cash + ST inv.</t>
  </si>
  <si>
    <t xml:space="preserve">EV / Revenue</t>
  </si>
  <si>
    <t xml:space="preserve">EV / EBITDA</t>
  </si>
  <si>
    <t xml:space="preserve">P / E</t>
  </si>
  <si>
    <t xml:space="preserve">Peer Apparel Group</t>
  </si>
  <si>
    <t xml:space="preserve">Peer Footwear Holdings</t>
  </si>
  <si>
    <t xml:space="preserve">Peer Outdoor Brands</t>
  </si>
  <si>
    <t xml:space="preserve">Peer Performance Wear</t>
  </si>
  <si>
    <t xml:space="preserve">Peer Lifestyle Co.</t>
  </si>
  <si>
    <t xml:space="preserve">Demo Athletic Brands Inc.</t>
  </si>
  <si>
    <t xml:space="preserve">Peer 25th percentile</t>
  </si>
  <si>
    <t xml:space="preserve">Peer median</t>
  </si>
  <si>
    <t xml:space="preserve">Peer 75th percentile</t>
  </si>
  <si>
    <t xml:space="preserve">Implied value per share for DEMO ($)</t>
  </si>
  <si>
    <t xml:space="preserve">Method</t>
  </si>
  <si>
    <t xml:space="preserve">Low (Q1)</t>
  </si>
  <si>
    <t xml:space="preserve">Median</t>
  </si>
  <si>
    <t xml:space="preserve">High (Q3)</t>
  </si>
  <si>
    <t xml:space="preserve">Demo Athletic Brands Inc. (DEMO): valuation summary</t>
  </si>
  <si>
    <t xml:space="preserve">Football field, blended price target and rating, all linked to the model.</t>
  </si>
  <si>
    <t xml:space="preserve">Low ($)</t>
  </si>
  <si>
    <t xml:space="preserve">High ($)</t>
  </si>
  <si>
    <t xml:space="preserve">Midpoint ($)</t>
  </si>
  <si>
    <t xml:space="preserve">Basis</t>
  </si>
  <si>
    <t xml:space="preserve">Chart helper</t>
  </si>
  <si>
    <t xml:space="preserve">52-week trading range</t>
  </si>
  <si>
    <t xml:space="preserve">Market data</t>
  </si>
  <si>
    <t xml:space="preserve">Low</t>
  </si>
  <si>
    <t xml:space="preserve">Range</t>
  </si>
  <si>
    <t xml:space="preserve">Trading comps: EV / EBITDA (peer Q1–Q3)</t>
  </si>
  <si>
    <t xml:space="preserve">Comps sheet</t>
  </si>
  <si>
    <t xml:space="preserve">Trading comps: P / E (peer Q1–Q3)</t>
  </si>
  <si>
    <t xml:space="preserve">DCF: perpetuity growth (WACC ±0.5pp, g ±0.25pp)</t>
  </si>
  <si>
    <t xml:space="preserve">Sensitivity sheet</t>
  </si>
  <si>
    <t xml:space="preserve">DCF: exit multiple (WACC ±0.5pp, multiple ±1x)</t>
  </si>
  <si>
    <t xml:space="preserve">Scenarios: bear to bull (DCF snapshot)</t>
  </si>
  <si>
    <t xml:space="preserve">Snapshot; switch the scenario on Assumptions to recompute live</t>
  </si>
  <si>
    <t xml:space="preserve">Blended price target</t>
  </si>
  <si>
    <t xml:space="preserve">Component</t>
  </si>
  <si>
    <t xml:space="preserve">Value ($)</t>
  </si>
  <si>
    <t xml:space="preserve">Weight</t>
  </si>
  <si>
    <t xml:space="preserve">Contribution</t>
  </si>
  <si>
    <t xml:space="preserve">DCF: perpetuity growth</t>
  </si>
  <si>
    <t xml:space="preserve">DCF: exit multiple</t>
  </si>
  <si>
    <t xml:space="preserve">Trading comps: EV / EBITDA median</t>
  </si>
  <si>
    <t xml:space="preserve">Price target</t>
  </si>
  <si>
    <t xml:space="preserve">Implied upside / (downside)</t>
  </si>
  <si>
    <t xml:space="preserve">Scenario snapshot (DCF perpetuity method)</t>
  </si>
  <si>
    <t xml:space="preserve">vs price</t>
  </si>
  <si>
    <t xml:space="preserve">DEMO vs peers: benchmarking</t>
  </si>
  <si>
    <t xml:space="preserve">Peers: PEERA, PEERB, PEERC, PEERD, PEERE. Latest fiscal year for each company.</t>
  </si>
  <si>
    <t xml:space="preserve">Metric</t>
  </si>
  <si>
    <t xml:space="preserve">Peer Q1</t>
  </si>
  <si>
    <t xml:space="preserve">Peer Q3</t>
  </si>
  <si>
    <t xml:space="preserve">Percentile (100 = best)</t>
  </si>
  <si>
    <t xml:space="preserve">Verdict</t>
  </si>
  <si>
    <t xml:space="preserve">Worse</t>
  </si>
  <si>
    <t xml:space="preserve">Revenue CAGR (3y)</t>
  </si>
  <si>
    <t xml:space="preserve">ROIC</t>
  </si>
  <si>
    <t xml:space="preserve">FCF conversion (FCF / net income)</t>
  </si>
  <si>
    <t xml:space="preserve">In line</t>
  </si>
  <si>
    <t xml:space="preserve">Interest coverage (EBIT / interest)</t>
  </si>
  <si>
    <t xml:space="preserve">Inventory days</t>
  </si>
  <si>
    <t xml:space="preserve">Cash conversion cycle</t>
  </si>
  <si>
    <t xml:space="preserve">Trend: Revenue growth</t>
  </si>
  <si>
    <t xml:space="preserve">Trend: Gross margin</t>
  </si>
  <si>
    <t xml:space="preserve">Trend: EBIT margin</t>
  </si>
  <si>
    <t xml:space="preserve">Trend: ROIC</t>
  </si>
  <si>
    <t xml:space="preserve">Trend: FCF margin</t>
  </si>
  <si>
    <t xml:space="preserve">Trend: Net debt / EBITDA</t>
  </si>
  <si>
    <t xml:space="preserve">Data provenance</t>
  </si>
  <si>
    <t xml:space="preserve">Every historical value: the XBRL tag it came from and the SEC filing (click to open).</t>
  </si>
  <si>
    <t xml:space="preserve">Line item</t>
  </si>
  <si>
    <t xml:space="preserve">Period end</t>
  </si>
  <si>
    <t xml:space="preserve">Value ($m)</t>
  </si>
  <si>
    <t xml:space="preserve">XBRL tag</t>
  </si>
  <si>
    <t xml:space="preserve">Form</t>
  </si>
  <si>
    <t xml:space="preserve">Accession</t>
  </si>
  <si>
    <t xml:space="preserve">Filed</t>
  </si>
  <si>
    <t xml:space="preserve">2018-05-31</t>
  </si>
  <si>
    <t xml:space="preserve">PaymentsForRepurchaseOfCommonStock</t>
  </si>
  <si>
    <t xml:space="preserve">10-K</t>
  </si>
  <si>
    <t xml:space="preserve">0000900001-20-000003</t>
  </si>
  <si>
    <t xml:space="preserve">2020-07-25</t>
  </si>
  <si>
    <t xml:space="preserve">2019-05-31</t>
  </si>
  <si>
    <t xml:space="preserve">0000900001-21-000004</t>
  </si>
  <si>
    <t xml:space="preserve">2021-07-25</t>
  </si>
  <si>
    <t xml:space="preserve">2020-05-31</t>
  </si>
  <si>
    <t xml:space="preserve">0000900001-22-000005</t>
  </si>
  <si>
    <t xml:space="preserve">2022-07-25</t>
  </si>
  <si>
    <t xml:space="preserve">2021-05-31</t>
  </si>
  <si>
    <t xml:space="preserve">0000900001-23-000006</t>
  </si>
  <si>
    <t xml:space="preserve">2023-07-25</t>
  </si>
  <si>
    <t xml:space="preserve">2022-05-31</t>
  </si>
  <si>
    <t xml:space="preserve">0000900001-24-000007</t>
  </si>
  <si>
    <t xml:space="preserve">2024-07-25</t>
  </si>
  <si>
    <t xml:space="preserve">2023-05-31</t>
  </si>
  <si>
    <t xml:space="preserve">0000900001-25-000008</t>
  </si>
  <si>
    <t xml:space="preserve">2025-07-25</t>
  </si>
  <si>
    <t xml:space="preserve">2024-05-31</t>
  </si>
  <si>
    <t xml:space="preserve">2025-05-31</t>
  </si>
  <si>
    <t xml:space="preserve">PaymentsToAcquirePropertyPlantAndEquipment</t>
  </si>
  <si>
    <t xml:space="preserve">CashAndCashEquivalentsAtCarryingValue</t>
  </si>
  <si>
    <t xml:space="preserve">0000900001-19-000002</t>
  </si>
  <si>
    <t xml:space="preserve">2019-07-25</t>
  </si>
  <si>
    <t xml:space="preserve">NetCashProvidedByUsedInOperatingActivities</t>
  </si>
  <si>
    <t xml:space="preserve">CostOfGoodsAndServicesSold</t>
  </si>
  <si>
    <t xml:space="preserve">Current assets</t>
  </si>
  <si>
    <t xml:space="preserve">AssetsCurrent</t>
  </si>
  <si>
    <t xml:space="preserve">Current liabilities</t>
  </si>
  <si>
    <t xml:space="preserve">LiabilitiesCurrent</t>
  </si>
  <si>
    <t xml:space="preserve">DepreciationDepletionAndAmortization</t>
  </si>
  <si>
    <t xml:space="preserve">Diluted shares (weighted avg)</t>
  </si>
  <si>
    <t xml:space="preserve">WeightedAverageNumberOfDilutedSharesOutstanding</t>
  </si>
  <si>
    <t xml:space="preserve">PaymentsOfDividends</t>
  </si>
  <si>
    <t xml:space="preserve">Diluted EPS</t>
  </si>
  <si>
    <t xml:space="preserve">EarningsPerShareDiluted</t>
  </si>
  <si>
    <t xml:space="preserve">StockholdersEquity</t>
  </si>
  <si>
    <t xml:space="preserve">Goodwill</t>
  </si>
  <si>
    <t xml:space="preserve">GrossProfit</t>
  </si>
  <si>
    <t xml:space="preserve">IncomeTaxExpenseBenefit</t>
  </si>
  <si>
    <t xml:space="preserve">InterestExpense</t>
  </si>
  <si>
    <t xml:space="preserve">InventoryNet</t>
  </si>
  <si>
    <t xml:space="preserve">lt_debt_current</t>
  </si>
  <si>
    <t xml:space="preserve">LongTermDebtCurrent</t>
  </si>
  <si>
    <t xml:space="preserve">lt_debt_noncurrent</t>
  </si>
  <si>
    <t xml:space="preserve">LongTermDebtNoncurrent</t>
  </si>
  <si>
    <t xml:space="preserve">NetIncomeLoss</t>
  </si>
  <si>
    <t xml:space="preserve">derived</t>
  </si>
  <si>
    <t xml:space="preserve">DERIVED: gross profit − SG&amp;A − R&amp;D</t>
  </si>
  <si>
    <t xml:space="preserve">AccountsPayableCurrent</t>
  </si>
  <si>
    <t xml:space="preserve">PP&amp;E, net</t>
  </si>
  <si>
    <t xml:space="preserve">PropertyPlantAndEquipmentNet</t>
  </si>
  <si>
    <t xml:space="preserve">IncomeLossFromContinuingOperationsBeforeIncomeTaxesExtraordinaryItemsNoncontrollingInterest</t>
  </si>
  <si>
    <t xml:space="preserve">AccountsReceivableNetCurrent</t>
  </si>
  <si>
    <t xml:space="preserve">RevenueFromContractWithCustomerExcludingAssessedTax</t>
  </si>
  <si>
    <t xml:space="preserve">ShareBasedCompensation</t>
  </si>
  <si>
    <t xml:space="preserve">sga</t>
  </si>
  <si>
    <t xml:space="preserve">SellingGeneralAndAdministrativeExpense</t>
  </si>
  <si>
    <t xml:space="preserve">ShortTermInvestments</t>
  </si>
  <si>
    <t xml:space="preserve">Assets</t>
  </si>
  <si>
    <t xml:space="preserve">Total liabilities</t>
  </si>
  <si>
    <t xml:space="preserve">Liabilities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</si>
</sst>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0.0\x;\(0.0&quot;x)&quot;;\-"/>
    <numFmt numFmtId="169" formatCode="0"/>
    <numFmt numFmtId="170" formatCode="#,##0.0"/>
    <numFmt numFmtId="171" formatCode="0.00"/>
    <numFmt numFmtId="172" formatCode="0.0"/>
    <numFmt numFmtId="173" formatCode="0.000"/>
    <numFmt numFmtId="174" formatCode="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77777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  <fill>
      <patternFill patternType="solid">
        <fgColor rgb="FFE8ECF4"/>
        <bgColor rgb="FFF3F4F6"/>
      </patternFill>
    </fill>
    <fill>
      <patternFill patternType="solid">
        <fgColor rgb="FFFFF2CC"/>
        <bgColor rgb="FFF3F4F6"/>
      </patternFill>
    </fill>
    <fill>
      <patternFill patternType="solid">
        <fgColor rgb="FFF3F4F6"/>
        <bgColor rgb="FFE8ECF4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AA5B8"/>
      <rgbColor rgb="FF993366"/>
      <rgbColor rgb="FFFFF2CC"/>
      <rgbColor rgb="FFE8ECF4"/>
      <rgbColor rgb="FF660066"/>
      <rgbColor rgb="FFFF8080"/>
      <rgbColor rgb="FF0563C1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4CCCC"/>
      <rgbColor rgb="FF2A78D6"/>
      <rgbColor rgb="FF33CCCC"/>
      <rgbColor rgb="FF99CC00"/>
      <rgbColor rgb="FFFFCC00"/>
      <rgbColor rgb="FFFF9900"/>
      <rgbColor rgb="FFFF6600"/>
      <rgbColor rgb="FF777777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football field ($ per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Valuation!H5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Valuation!$G$6:$G$11</c:f>
              <c:strCache>
                <c:ptCount val="6"/>
                <c:pt idx="0">
                  <c:v>52-week trading range</c:v>
                </c:pt>
                <c:pt idx="1">
                  <c:v>Trading comps: EV / EBITDA (peer Q1–Q3)</c:v>
                </c:pt>
                <c:pt idx="2">
                  <c:v>Trading comps: P / E (peer Q1–Q3)</c:v>
                </c:pt>
                <c:pt idx="3">
                  <c:v>DCF: perpetuity growth (WACC ±0.5pp, g ±0.25pp)</c:v>
                </c:pt>
                <c:pt idx="4">
                  <c:v>DCF: exit multiple (WACC ±0.5pp, multiple ±1x)</c:v>
                </c:pt>
                <c:pt idx="5">
                  <c:v>Scenarios: bear to bull (DCF snapshot)</c:v>
                </c:pt>
              </c:strCache>
            </c:strRef>
          </c:cat>
          <c:val>
            <c:numRef>
              <c:f>Valuation!$H$6:$H$11</c:f>
              <c:numCache>
                <c:formatCode>\$#,##0.00;"($"#,##0.00\);\-</c:formatCode>
                <c:ptCount val="6"/>
                <c:pt idx="0">
                  <c:v>32.88</c:v>
                </c:pt>
                <c:pt idx="1">
                  <c:v>30.5561490254323</c:v>
                </c:pt>
                <c:pt idx="2">
                  <c:v>26.818986482224</c:v>
                </c:pt>
                <c:pt idx="3">
                  <c:v>44.7976105885149</c:v>
                </c:pt>
                <c:pt idx="4">
                  <c:v>53.2313109425553</c:v>
                </c:pt>
                <c:pt idx="5">
                  <c:v>32.5538695386067</c:v>
                </c:pt>
              </c:numCache>
            </c:numRef>
          </c:val>
        </c:ser>
        <c:ser>
          <c:idx val="1"/>
          <c:order val="1"/>
          <c:tx>
            <c:strRef>
              <c:f>Valuation!I5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Valuation!$G$6:$G$11</c:f>
              <c:strCache>
                <c:ptCount val="6"/>
                <c:pt idx="0">
                  <c:v>52-week trading range</c:v>
                </c:pt>
                <c:pt idx="1">
                  <c:v>Trading comps: EV / EBITDA (peer Q1–Q3)</c:v>
                </c:pt>
                <c:pt idx="2">
                  <c:v>Trading comps: P / E (peer Q1–Q3)</c:v>
                </c:pt>
                <c:pt idx="3">
                  <c:v>DCF: perpetuity growth (WACC ±0.5pp, g ±0.25pp)</c:v>
                </c:pt>
                <c:pt idx="4">
                  <c:v>DCF: exit multiple (WACC ±0.5pp, multiple ±1x)</c:v>
                </c:pt>
                <c:pt idx="5">
                  <c:v>Scenarios: bear to bull (DCF snapshot)</c:v>
                </c:pt>
              </c:strCache>
            </c:strRef>
          </c:cat>
          <c:val>
            <c:numRef>
              <c:f>Valuation!$I$6:$I$11</c:f>
              <c:numCache>
                <c:formatCode>\$#,##0.00;"($"#,##0.00\);\-</c:formatCode>
                <c:ptCount val="6"/>
                <c:pt idx="0">
                  <c:v>11.29</c:v>
                </c:pt>
                <c:pt idx="1">
                  <c:v>8.29961647890527</c:v>
                </c:pt>
                <c:pt idx="2">
                  <c:v>2.4262088370226</c:v>
                </c:pt>
                <c:pt idx="3">
                  <c:v>10.7222526207114</c:v>
                </c:pt>
                <c:pt idx="4">
                  <c:v>9.40301234167934</c:v>
                </c:pt>
                <c:pt idx="5">
                  <c:v>47.1601355523348</c:v>
                </c:pt>
              </c:numCache>
            </c:numRef>
          </c:val>
        </c:ser>
        <c:gapWidth val="150"/>
        <c:overlap val="100"/>
        <c:axId val="45728386"/>
        <c:axId val="53976099"/>
      </c:barChart>
      <c:catAx>
        <c:axId val="4572838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76099"/>
        <c:crosses val="autoZero"/>
        <c:auto val="1"/>
        <c:lblAlgn val="ctr"/>
        <c:lblOffset val="100"/>
        <c:noMultiLvlLbl val="0"/>
      </c:catAx>
      <c:valAx>
        <c:axId val="53976099"/>
        <c:scaling>
          <c:orientation val="minMax"/>
        </c:scaling>
        <c:delete val="0"/>
        <c:axPos val="l"/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283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48240</xdr:rowOff>
    </xdr:from>
    <xdr:to>
      <xdr:col>4</xdr:col>
      <xdr:colOff>982080</xdr:colOff>
      <xdr:row>42</xdr:row>
      <xdr:rowOff>70560</xdr:rowOff>
    </xdr:to>
    <xdr:graphicFrame>
      <xdr:nvGraphicFramePr>
        <xdr:cNvPr id="0" name="Chart 1"/>
        <xdr:cNvGraphicFramePr/>
      </xdr:nvGraphicFramePr>
      <xdr:xfrm>
        <a:off x="141120" y="5334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900001/000090000120000003/0000900001-20-000003-index.htm" TargetMode="External"/><Relationship Id="rId2" Type="http://schemas.openxmlformats.org/officeDocument/2006/relationships/hyperlink" Target="https://www.sec.gov/Archives/edgar/data/900001/000090000121000004/0000900001-21-000004-index.htm" TargetMode="External"/><Relationship Id="rId3" Type="http://schemas.openxmlformats.org/officeDocument/2006/relationships/hyperlink" Target="https://www.sec.gov/Archives/edgar/data/900001/000090000122000005/0000900001-22-000005-index.htm" TargetMode="External"/><Relationship Id="rId4" Type="http://schemas.openxmlformats.org/officeDocument/2006/relationships/hyperlink" Target="https://www.sec.gov/Archives/edgar/data/900001/000090000123000006/0000900001-23-000006-index.htm" TargetMode="External"/><Relationship Id="rId5" Type="http://schemas.openxmlformats.org/officeDocument/2006/relationships/hyperlink" Target="https://www.sec.gov/Archives/edgar/data/900001/000090000124000007/0000900001-24-000007-index.htm" TargetMode="External"/><Relationship Id="rId6" Type="http://schemas.openxmlformats.org/officeDocument/2006/relationships/hyperlink" Target="https://www.sec.gov/Archives/edgar/data/900001/000090000125000008/0000900001-25-000008-index.htm" TargetMode="External"/><Relationship Id="rId7" Type="http://schemas.openxmlformats.org/officeDocument/2006/relationships/hyperlink" Target="https://www.sec.gov/Archives/edgar/data/900001/000090000125000008/0000900001-25-000008-index.htm" TargetMode="External"/><Relationship Id="rId8" Type="http://schemas.openxmlformats.org/officeDocument/2006/relationships/hyperlink" Target="https://www.sec.gov/Archives/edgar/data/900001/000090000125000008/0000900001-25-000008-index.htm" TargetMode="External"/><Relationship Id="rId9" Type="http://schemas.openxmlformats.org/officeDocument/2006/relationships/hyperlink" Target="https://www.sec.gov/Archives/edgar/data/900001/000090000120000003/0000900001-20-000003-index.htm" TargetMode="External"/><Relationship Id="rId10" Type="http://schemas.openxmlformats.org/officeDocument/2006/relationships/hyperlink" Target="https://www.sec.gov/Archives/edgar/data/900001/000090000121000004/0000900001-21-000004-index.htm" TargetMode="External"/><Relationship Id="rId11" Type="http://schemas.openxmlformats.org/officeDocument/2006/relationships/hyperlink" Target="https://www.sec.gov/Archives/edgar/data/900001/000090000122000005/0000900001-22-000005-index.htm" TargetMode="External"/><Relationship Id="rId12" Type="http://schemas.openxmlformats.org/officeDocument/2006/relationships/hyperlink" Target="https://www.sec.gov/Archives/edgar/data/900001/000090000123000006/0000900001-23-000006-index.htm" TargetMode="External"/><Relationship Id="rId13" Type="http://schemas.openxmlformats.org/officeDocument/2006/relationships/hyperlink" Target="https://www.sec.gov/Archives/edgar/data/900001/000090000124000007/0000900001-24-000007-index.htm" TargetMode="External"/><Relationship Id="rId14" Type="http://schemas.openxmlformats.org/officeDocument/2006/relationships/hyperlink" Target="https://www.sec.gov/Archives/edgar/data/900001/000090000125000008/0000900001-25-000008-index.htm" TargetMode="External"/><Relationship Id="rId15" Type="http://schemas.openxmlformats.org/officeDocument/2006/relationships/hyperlink" Target="https://www.sec.gov/Archives/edgar/data/900001/000090000125000008/0000900001-25-000008-index.htm" TargetMode="External"/><Relationship Id="rId16" Type="http://schemas.openxmlformats.org/officeDocument/2006/relationships/hyperlink" Target="https://www.sec.gov/Archives/edgar/data/900001/000090000125000008/0000900001-25-000008-index.htm" TargetMode="External"/><Relationship Id="rId17" Type="http://schemas.openxmlformats.org/officeDocument/2006/relationships/hyperlink" Target="https://www.sec.gov/Archives/edgar/data/900001/000090000119000002/0000900001-19-000002-index.htm" TargetMode="External"/><Relationship Id="rId18" Type="http://schemas.openxmlformats.org/officeDocument/2006/relationships/hyperlink" Target="https://www.sec.gov/Archives/edgar/data/900001/000090000120000003/0000900001-20-000003-index.htm" TargetMode="External"/><Relationship Id="rId19" Type="http://schemas.openxmlformats.org/officeDocument/2006/relationships/hyperlink" Target="https://www.sec.gov/Archives/edgar/data/900001/000090000121000004/0000900001-21-000004-index.htm" TargetMode="External"/><Relationship Id="rId20" Type="http://schemas.openxmlformats.org/officeDocument/2006/relationships/hyperlink" Target="https://www.sec.gov/Archives/edgar/data/900001/000090000122000005/0000900001-22-000005-index.htm" TargetMode="External"/><Relationship Id="rId21" Type="http://schemas.openxmlformats.org/officeDocument/2006/relationships/hyperlink" Target="https://www.sec.gov/Archives/edgar/data/900001/000090000123000006/0000900001-23-000006-index.htm" TargetMode="External"/><Relationship Id="rId22" Type="http://schemas.openxmlformats.org/officeDocument/2006/relationships/hyperlink" Target="https://www.sec.gov/Archives/edgar/data/900001/000090000124000007/0000900001-24-000007-index.htm" TargetMode="External"/><Relationship Id="rId23" Type="http://schemas.openxmlformats.org/officeDocument/2006/relationships/hyperlink" Target="https://www.sec.gov/Archives/edgar/data/900001/000090000125000008/0000900001-25-000008-index.htm" TargetMode="External"/><Relationship Id="rId24" Type="http://schemas.openxmlformats.org/officeDocument/2006/relationships/hyperlink" Target="https://www.sec.gov/Archives/edgar/data/900001/000090000125000008/0000900001-25-000008-index.htm" TargetMode="External"/><Relationship Id="rId25" Type="http://schemas.openxmlformats.org/officeDocument/2006/relationships/hyperlink" Target="https://www.sec.gov/Archives/edgar/data/900001/000090000120000003/0000900001-20-000003-index.htm" TargetMode="External"/><Relationship Id="rId26" Type="http://schemas.openxmlformats.org/officeDocument/2006/relationships/hyperlink" Target="https://www.sec.gov/Archives/edgar/data/900001/000090000121000004/0000900001-21-000004-index.htm" TargetMode="External"/><Relationship Id="rId27" Type="http://schemas.openxmlformats.org/officeDocument/2006/relationships/hyperlink" Target="https://www.sec.gov/Archives/edgar/data/900001/000090000122000005/0000900001-22-000005-index.htm" TargetMode="External"/><Relationship Id="rId28" Type="http://schemas.openxmlformats.org/officeDocument/2006/relationships/hyperlink" Target="https://www.sec.gov/Archives/edgar/data/900001/000090000123000006/0000900001-23-000006-index.htm" TargetMode="External"/><Relationship Id="rId29" Type="http://schemas.openxmlformats.org/officeDocument/2006/relationships/hyperlink" Target="https://www.sec.gov/Archives/edgar/data/900001/000090000124000007/0000900001-24-000007-index.htm" TargetMode="External"/><Relationship Id="rId30" Type="http://schemas.openxmlformats.org/officeDocument/2006/relationships/hyperlink" Target="https://www.sec.gov/Archives/edgar/data/900001/000090000125000008/0000900001-25-000008-index.htm" TargetMode="External"/><Relationship Id="rId31" Type="http://schemas.openxmlformats.org/officeDocument/2006/relationships/hyperlink" Target="https://www.sec.gov/Archives/edgar/data/900001/000090000125000008/0000900001-25-000008-index.htm" TargetMode="External"/><Relationship Id="rId32" Type="http://schemas.openxmlformats.org/officeDocument/2006/relationships/hyperlink" Target="https://www.sec.gov/Archives/edgar/data/900001/000090000125000008/0000900001-25-000008-index.htm" TargetMode="External"/><Relationship Id="rId33" Type="http://schemas.openxmlformats.org/officeDocument/2006/relationships/hyperlink" Target="https://www.sec.gov/Archives/edgar/data/900001/000090000120000003/0000900001-20-000003-index.htm" TargetMode="External"/><Relationship Id="rId34" Type="http://schemas.openxmlformats.org/officeDocument/2006/relationships/hyperlink" Target="https://www.sec.gov/Archives/edgar/data/900001/000090000121000004/0000900001-21-000004-index.htm" TargetMode="External"/><Relationship Id="rId35" Type="http://schemas.openxmlformats.org/officeDocument/2006/relationships/hyperlink" Target="https://www.sec.gov/Archives/edgar/data/900001/000090000122000005/0000900001-22-000005-index.htm" TargetMode="External"/><Relationship Id="rId36" Type="http://schemas.openxmlformats.org/officeDocument/2006/relationships/hyperlink" Target="https://www.sec.gov/Archives/edgar/data/900001/000090000123000006/0000900001-23-000006-index.htm" TargetMode="External"/><Relationship Id="rId37" Type="http://schemas.openxmlformats.org/officeDocument/2006/relationships/hyperlink" Target="https://www.sec.gov/Archives/edgar/data/900001/000090000124000007/0000900001-24-000007-index.htm" TargetMode="External"/><Relationship Id="rId38" Type="http://schemas.openxmlformats.org/officeDocument/2006/relationships/hyperlink" Target="https://www.sec.gov/Archives/edgar/data/900001/000090000125000008/0000900001-25-000008-index.htm" TargetMode="External"/><Relationship Id="rId39" Type="http://schemas.openxmlformats.org/officeDocument/2006/relationships/hyperlink" Target="https://www.sec.gov/Archives/edgar/data/900001/000090000125000008/0000900001-25-000008-index.htm" TargetMode="External"/><Relationship Id="rId40" Type="http://schemas.openxmlformats.org/officeDocument/2006/relationships/hyperlink" Target="https://www.sec.gov/Archives/edgar/data/900001/000090000125000008/0000900001-25-000008-index.htm" TargetMode="External"/><Relationship Id="rId41" Type="http://schemas.openxmlformats.org/officeDocument/2006/relationships/hyperlink" Target="https://www.sec.gov/Archives/edgar/data/900001/000090000119000002/0000900001-19-000002-index.htm" TargetMode="External"/><Relationship Id="rId42" Type="http://schemas.openxmlformats.org/officeDocument/2006/relationships/hyperlink" Target="https://www.sec.gov/Archives/edgar/data/900001/000090000120000003/0000900001-20-000003-index.htm" TargetMode="External"/><Relationship Id="rId43" Type="http://schemas.openxmlformats.org/officeDocument/2006/relationships/hyperlink" Target="https://www.sec.gov/Archives/edgar/data/900001/000090000121000004/0000900001-21-000004-index.htm" TargetMode="External"/><Relationship Id="rId44" Type="http://schemas.openxmlformats.org/officeDocument/2006/relationships/hyperlink" Target="https://www.sec.gov/Archives/edgar/data/900001/000090000122000005/0000900001-22-000005-index.htm" TargetMode="External"/><Relationship Id="rId45" Type="http://schemas.openxmlformats.org/officeDocument/2006/relationships/hyperlink" Target="https://www.sec.gov/Archives/edgar/data/900001/000090000123000006/0000900001-23-000006-index.htm" TargetMode="External"/><Relationship Id="rId46" Type="http://schemas.openxmlformats.org/officeDocument/2006/relationships/hyperlink" Target="https://www.sec.gov/Archives/edgar/data/900001/000090000124000007/0000900001-24-000007-index.htm" TargetMode="External"/><Relationship Id="rId47" Type="http://schemas.openxmlformats.org/officeDocument/2006/relationships/hyperlink" Target="https://www.sec.gov/Archives/edgar/data/900001/000090000125000008/0000900001-25-000008-index.htm" TargetMode="External"/><Relationship Id="rId48" Type="http://schemas.openxmlformats.org/officeDocument/2006/relationships/hyperlink" Target="https://www.sec.gov/Archives/edgar/data/900001/000090000125000008/0000900001-25-000008-index.htm" TargetMode="External"/><Relationship Id="rId49" Type="http://schemas.openxmlformats.org/officeDocument/2006/relationships/hyperlink" Target="https://www.sec.gov/Archives/edgar/data/900001/000090000119000002/0000900001-19-000002-index.htm" TargetMode="External"/><Relationship Id="rId50" Type="http://schemas.openxmlformats.org/officeDocument/2006/relationships/hyperlink" Target="https://www.sec.gov/Archives/edgar/data/900001/000090000120000003/0000900001-20-000003-index.htm" TargetMode="External"/><Relationship Id="rId51" Type="http://schemas.openxmlformats.org/officeDocument/2006/relationships/hyperlink" Target="https://www.sec.gov/Archives/edgar/data/900001/000090000121000004/0000900001-21-000004-index.htm" TargetMode="External"/><Relationship Id="rId52" Type="http://schemas.openxmlformats.org/officeDocument/2006/relationships/hyperlink" Target="https://www.sec.gov/Archives/edgar/data/900001/000090000122000005/0000900001-22-000005-index.htm" TargetMode="External"/><Relationship Id="rId53" Type="http://schemas.openxmlformats.org/officeDocument/2006/relationships/hyperlink" Target="https://www.sec.gov/Archives/edgar/data/900001/000090000123000006/0000900001-23-000006-index.htm" TargetMode="External"/><Relationship Id="rId54" Type="http://schemas.openxmlformats.org/officeDocument/2006/relationships/hyperlink" Target="https://www.sec.gov/Archives/edgar/data/900001/000090000124000007/0000900001-24-000007-index.htm" TargetMode="External"/><Relationship Id="rId55" Type="http://schemas.openxmlformats.org/officeDocument/2006/relationships/hyperlink" Target="https://www.sec.gov/Archives/edgar/data/900001/000090000125000008/0000900001-25-000008-index.htm" TargetMode="External"/><Relationship Id="rId56" Type="http://schemas.openxmlformats.org/officeDocument/2006/relationships/hyperlink" Target="https://www.sec.gov/Archives/edgar/data/900001/000090000125000008/0000900001-25-000008-index.htm" TargetMode="External"/><Relationship Id="rId57" Type="http://schemas.openxmlformats.org/officeDocument/2006/relationships/hyperlink" Target="https://www.sec.gov/Archives/edgar/data/900001/000090000120000003/0000900001-20-000003-index.htm" TargetMode="External"/><Relationship Id="rId58" Type="http://schemas.openxmlformats.org/officeDocument/2006/relationships/hyperlink" Target="https://www.sec.gov/Archives/edgar/data/900001/000090000121000004/0000900001-21-000004-index.htm" TargetMode="External"/><Relationship Id="rId59" Type="http://schemas.openxmlformats.org/officeDocument/2006/relationships/hyperlink" Target="https://www.sec.gov/Archives/edgar/data/900001/000090000122000005/0000900001-22-000005-index.htm" TargetMode="External"/><Relationship Id="rId60" Type="http://schemas.openxmlformats.org/officeDocument/2006/relationships/hyperlink" Target="https://www.sec.gov/Archives/edgar/data/900001/000090000123000006/0000900001-23-000006-index.htm" TargetMode="External"/><Relationship Id="rId61" Type="http://schemas.openxmlformats.org/officeDocument/2006/relationships/hyperlink" Target="https://www.sec.gov/Archives/edgar/data/900001/000090000124000007/0000900001-24-000007-index.htm" TargetMode="External"/><Relationship Id="rId62" Type="http://schemas.openxmlformats.org/officeDocument/2006/relationships/hyperlink" Target="https://www.sec.gov/Archives/edgar/data/900001/000090000125000008/0000900001-25-000008-index.htm" TargetMode="External"/><Relationship Id="rId63" Type="http://schemas.openxmlformats.org/officeDocument/2006/relationships/hyperlink" Target="https://www.sec.gov/Archives/edgar/data/900001/000090000125000008/0000900001-25-000008-index.htm" TargetMode="External"/><Relationship Id="rId64" Type="http://schemas.openxmlformats.org/officeDocument/2006/relationships/hyperlink" Target="https://www.sec.gov/Archives/edgar/data/900001/000090000125000008/0000900001-25-000008-index.htm" TargetMode="External"/><Relationship Id="rId65" Type="http://schemas.openxmlformats.org/officeDocument/2006/relationships/hyperlink" Target="https://www.sec.gov/Archives/edgar/data/900001/000090000120000003/0000900001-20-000003-index.htm" TargetMode="External"/><Relationship Id="rId66" Type="http://schemas.openxmlformats.org/officeDocument/2006/relationships/hyperlink" Target="https://www.sec.gov/Archives/edgar/data/900001/000090000121000004/0000900001-21-000004-index.htm" TargetMode="External"/><Relationship Id="rId67" Type="http://schemas.openxmlformats.org/officeDocument/2006/relationships/hyperlink" Target="https://www.sec.gov/Archives/edgar/data/900001/000090000122000005/0000900001-22-000005-index.htm" TargetMode="External"/><Relationship Id="rId68" Type="http://schemas.openxmlformats.org/officeDocument/2006/relationships/hyperlink" Target="https://www.sec.gov/Archives/edgar/data/900001/000090000123000006/0000900001-23-000006-index.htm" TargetMode="External"/><Relationship Id="rId69" Type="http://schemas.openxmlformats.org/officeDocument/2006/relationships/hyperlink" Target="https://www.sec.gov/Archives/edgar/data/900001/000090000124000007/0000900001-24-000007-index.htm" TargetMode="External"/><Relationship Id="rId70" Type="http://schemas.openxmlformats.org/officeDocument/2006/relationships/hyperlink" Target="https://www.sec.gov/Archives/edgar/data/900001/000090000125000008/0000900001-25-000008-index.htm" TargetMode="External"/><Relationship Id="rId71" Type="http://schemas.openxmlformats.org/officeDocument/2006/relationships/hyperlink" Target="https://www.sec.gov/Archives/edgar/data/900001/000090000125000008/0000900001-25-000008-index.htm" TargetMode="External"/><Relationship Id="rId72" Type="http://schemas.openxmlformats.org/officeDocument/2006/relationships/hyperlink" Target="https://www.sec.gov/Archives/edgar/data/900001/000090000125000008/0000900001-25-000008-index.htm" TargetMode="External"/><Relationship Id="rId73" Type="http://schemas.openxmlformats.org/officeDocument/2006/relationships/hyperlink" Target="https://www.sec.gov/Archives/edgar/data/900001/000090000120000003/0000900001-20-000003-index.htm" TargetMode="External"/><Relationship Id="rId74" Type="http://schemas.openxmlformats.org/officeDocument/2006/relationships/hyperlink" Target="https://www.sec.gov/Archives/edgar/data/900001/000090000121000004/0000900001-21-000004-index.htm" TargetMode="External"/><Relationship Id="rId75" Type="http://schemas.openxmlformats.org/officeDocument/2006/relationships/hyperlink" Target="https://www.sec.gov/Archives/edgar/data/900001/000090000122000005/0000900001-22-000005-index.htm" TargetMode="External"/><Relationship Id="rId76" Type="http://schemas.openxmlformats.org/officeDocument/2006/relationships/hyperlink" Target="https://www.sec.gov/Archives/edgar/data/900001/000090000123000006/0000900001-23-000006-index.htm" TargetMode="External"/><Relationship Id="rId77" Type="http://schemas.openxmlformats.org/officeDocument/2006/relationships/hyperlink" Target="https://www.sec.gov/Archives/edgar/data/900001/000090000124000007/0000900001-24-000007-index.htm" TargetMode="External"/><Relationship Id="rId78" Type="http://schemas.openxmlformats.org/officeDocument/2006/relationships/hyperlink" Target="https://www.sec.gov/Archives/edgar/data/900001/000090000125000008/0000900001-25-000008-index.htm" TargetMode="External"/><Relationship Id="rId79" Type="http://schemas.openxmlformats.org/officeDocument/2006/relationships/hyperlink" Target="https://www.sec.gov/Archives/edgar/data/900001/000090000125000008/0000900001-25-000008-index.htm" TargetMode="External"/><Relationship Id="rId80" Type="http://schemas.openxmlformats.org/officeDocument/2006/relationships/hyperlink" Target="https://www.sec.gov/Archives/edgar/data/900001/000090000125000008/0000900001-25-000008-index.htm" TargetMode="External"/><Relationship Id="rId81" Type="http://schemas.openxmlformats.org/officeDocument/2006/relationships/hyperlink" Target="https://www.sec.gov/Archives/edgar/data/900001/000090000120000003/0000900001-20-000003-index.htm" TargetMode="External"/><Relationship Id="rId82" Type="http://schemas.openxmlformats.org/officeDocument/2006/relationships/hyperlink" Target="https://www.sec.gov/Archives/edgar/data/900001/000090000121000004/0000900001-21-000004-index.htm" TargetMode="External"/><Relationship Id="rId83" Type="http://schemas.openxmlformats.org/officeDocument/2006/relationships/hyperlink" Target="https://www.sec.gov/Archives/edgar/data/900001/000090000122000005/0000900001-22-000005-index.htm" TargetMode="External"/><Relationship Id="rId84" Type="http://schemas.openxmlformats.org/officeDocument/2006/relationships/hyperlink" Target="https://www.sec.gov/Archives/edgar/data/900001/000090000123000006/0000900001-23-000006-index.htm" TargetMode="External"/><Relationship Id="rId85" Type="http://schemas.openxmlformats.org/officeDocument/2006/relationships/hyperlink" Target="https://www.sec.gov/Archives/edgar/data/900001/000090000124000007/0000900001-24-000007-index.htm" TargetMode="External"/><Relationship Id="rId86" Type="http://schemas.openxmlformats.org/officeDocument/2006/relationships/hyperlink" Target="https://www.sec.gov/Archives/edgar/data/900001/000090000125000008/0000900001-25-000008-index.htm" TargetMode="External"/><Relationship Id="rId87" Type="http://schemas.openxmlformats.org/officeDocument/2006/relationships/hyperlink" Target="https://www.sec.gov/Archives/edgar/data/900001/000090000125000008/0000900001-25-000008-index.htm" TargetMode="External"/><Relationship Id="rId88" Type="http://schemas.openxmlformats.org/officeDocument/2006/relationships/hyperlink" Target="https://www.sec.gov/Archives/edgar/data/900001/000090000125000008/0000900001-25-000008-index.htm" TargetMode="External"/><Relationship Id="rId89" Type="http://schemas.openxmlformats.org/officeDocument/2006/relationships/hyperlink" Target="https://www.sec.gov/Archives/edgar/data/900001/000090000119000002/0000900001-19-000002-index.htm" TargetMode="External"/><Relationship Id="rId90" Type="http://schemas.openxmlformats.org/officeDocument/2006/relationships/hyperlink" Target="https://www.sec.gov/Archives/edgar/data/900001/000090000120000003/0000900001-20-000003-index.htm" TargetMode="External"/><Relationship Id="rId91" Type="http://schemas.openxmlformats.org/officeDocument/2006/relationships/hyperlink" Target="https://www.sec.gov/Archives/edgar/data/900001/000090000121000004/0000900001-21-000004-index.htm" TargetMode="External"/><Relationship Id="rId92" Type="http://schemas.openxmlformats.org/officeDocument/2006/relationships/hyperlink" Target="https://www.sec.gov/Archives/edgar/data/900001/000090000122000005/0000900001-22-000005-index.htm" TargetMode="External"/><Relationship Id="rId93" Type="http://schemas.openxmlformats.org/officeDocument/2006/relationships/hyperlink" Target="https://www.sec.gov/Archives/edgar/data/900001/000090000123000006/0000900001-23-000006-index.htm" TargetMode="External"/><Relationship Id="rId94" Type="http://schemas.openxmlformats.org/officeDocument/2006/relationships/hyperlink" Target="https://www.sec.gov/Archives/edgar/data/900001/000090000124000007/0000900001-24-000007-index.htm" TargetMode="External"/><Relationship Id="rId95" Type="http://schemas.openxmlformats.org/officeDocument/2006/relationships/hyperlink" Target="https://www.sec.gov/Archives/edgar/data/900001/000090000125000008/0000900001-25-000008-index.htm" TargetMode="External"/><Relationship Id="rId96" Type="http://schemas.openxmlformats.org/officeDocument/2006/relationships/hyperlink" Target="https://www.sec.gov/Archives/edgar/data/900001/000090000125000008/0000900001-25-000008-index.htm" TargetMode="External"/><Relationship Id="rId97" Type="http://schemas.openxmlformats.org/officeDocument/2006/relationships/hyperlink" Target="https://www.sec.gov/Archives/edgar/data/900001/000090000119000002/0000900001-19-000002-index.htm" TargetMode="External"/><Relationship Id="rId98" Type="http://schemas.openxmlformats.org/officeDocument/2006/relationships/hyperlink" Target="https://www.sec.gov/Archives/edgar/data/900001/000090000120000003/0000900001-20-000003-index.htm" TargetMode="External"/><Relationship Id="rId99" Type="http://schemas.openxmlformats.org/officeDocument/2006/relationships/hyperlink" Target="https://www.sec.gov/Archives/edgar/data/900001/000090000121000004/0000900001-21-000004-index.htm" TargetMode="External"/><Relationship Id="rId100" Type="http://schemas.openxmlformats.org/officeDocument/2006/relationships/hyperlink" Target="https://www.sec.gov/Archives/edgar/data/900001/000090000122000005/0000900001-22-000005-index.htm" TargetMode="External"/><Relationship Id="rId101" Type="http://schemas.openxmlformats.org/officeDocument/2006/relationships/hyperlink" Target="https://www.sec.gov/Archives/edgar/data/900001/000090000123000006/0000900001-23-000006-index.htm" TargetMode="External"/><Relationship Id="rId102" Type="http://schemas.openxmlformats.org/officeDocument/2006/relationships/hyperlink" Target="https://www.sec.gov/Archives/edgar/data/900001/000090000124000007/0000900001-24-000007-index.htm" TargetMode="External"/><Relationship Id="rId103" Type="http://schemas.openxmlformats.org/officeDocument/2006/relationships/hyperlink" Target="https://www.sec.gov/Archives/edgar/data/900001/000090000125000008/0000900001-25-000008-index.htm" TargetMode="External"/><Relationship Id="rId104" Type="http://schemas.openxmlformats.org/officeDocument/2006/relationships/hyperlink" Target="https://www.sec.gov/Archives/edgar/data/900001/000090000125000008/0000900001-25-000008-index.htm" TargetMode="External"/><Relationship Id="rId105" Type="http://schemas.openxmlformats.org/officeDocument/2006/relationships/hyperlink" Target="https://www.sec.gov/Archives/edgar/data/900001/000090000120000003/0000900001-20-000003-index.htm" TargetMode="External"/><Relationship Id="rId106" Type="http://schemas.openxmlformats.org/officeDocument/2006/relationships/hyperlink" Target="https://www.sec.gov/Archives/edgar/data/900001/000090000121000004/0000900001-21-000004-index.htm" TargetMode="External"/><Relationship Id="rId107" Type="http://schemas.openxmlformats.org/officeDocument/2006/relationships/hyperlink" Target="https://www.sec.gov/Archives/edgar/data/900001/000090000122000005/0000900001-22-000005-index.htm" TargetMode="External"/><Relationship Id="rId108" Type="http://schemas.openxmlformats.org/officeDocument/2006/relationships/hyperlink" Target="https://www.sec.gov/Archives/edgar/data/900001/000090000123000006/0000900001-23-000006-index.htm" TargetMode="External"/><Relationship Id="rId109" Type="http://schemas.openxmlformats.org/officeDocument/2006/relationships/hyperlink" Target="https://www.sec.gov/Archives/edgar/data/900001/000090000124000007/0000900001-24-000007-index.htm" TargetMode="External"/><Relationship Id="rId110" Type="http://schemas.openxmlformats.org/officeDocument/2006/relationships/hyperlink" Target="https://www.sec.gov/Archives/edgar/data/900001/000090000125000008/0000900001-25-000008-index.htm" TargetMode="External"/><Relationship Id="rId111" Type="http://schemas.openxmlformats.org/officeDocument/2006/relationships/hyperlink" Target="https://www.sec.gov/Archives/edgar/data/900001/000090000125000008/0000900001-25-000008-index.htm" TargetMode="External"/><Relationship Id="rId112" Type="http://schemas.openxmlformats.org/officeDocument/2006/relationships/hyperlink" Target="https://www.sec.gov/Archives/edgar/data/900001/000090000125000008/0000900001-25-000008-index.htm" TargetMode="External"/><Relationship Id="rId113" Type="http://schemas.openxmlformats.org/officeDocument/2006/relationships/hyperlink" Target="https://www.sec.gov/Archives/edgar/data/900001/000090000120000003/0000900001-20-000003-index.htm" TargetMode="External"/><Relationship Id="rId114" Type="http://schemas.openxmlformats.org/officeDocument/2006/relationships/hyperlink" Target="https://www.sec.gov/Archives/edgar/data/900001/000090000121000004/0000900001-21-000004-index.htm" TargetMode="External"/><Relationship Id="rId115" Type="http://schemas.openxmlformats.org/officeDocument/2006/relationships/hyperlink" Target="https://www.sec.gov/Archives/edgar/data/900001/000090000122000005/0000900001-22-000005-index.htm" TargetMode="External"/><Relationship Id="rId116" Type="http://schemas.openxmlformats.org/officeDocument/2006/relationships/hyperlink" Target="https://www.sec.gov/Archives/edgar/data/900001/000090000123000006/0000900001-23-000006-index.htm" TargetMode="External"/><Relationship Id="rId117" Type="http://schemas.openxmlformats.org/officeDocument/2006/relationships/hyperlink" Target="https://www.sec.gov/Archives/edgar/data/900001/000090000124000007/0000900001-24-000007-index.htm" TargetMode="External"/><Relationship Id="rId118" Type="http://schemas.openxmlformats.org/officeDocument/2006/relationships/hyperlink" Target="https://www.sec.gov/Archives/edgar/data/900001/000090000125000008/0000900001-25-000008-index.htm" TargetMode="External"/><Relationship Id="rId119" Type="http://schemas.openxmlformats.org/officeDocument/2006/relationships/hyperlink" Target="https://www.sec.gov/Archives/edgar/data/900001/000090000125000008/0000900001-25-000008-index.htm" TargetMode="External"/><Relationship Id="rId120" Type="http://schemas.openxmlformats.org/officeDocument/2006/relationships/hyperlink" Target="https://www.sec.gov/Archives/edgar/data/900001/000090000125000008/0000900001-25-000008-index.htm" TargetMode="External"/><Relationship Id="rId121" Type="http://schemas.openxmlformats.org/officeDocument/2006/relationships/hyperlink" Target="https://www.sec.gov/Archives/edgar/data/900001/000090000120000003/0000900001-20-000003-index.htm" TargetMode="External"/><Relationship Id="rId122" Type="http://schemas.openxmlformats.org/officeDocument/2006/relationships/hyperlink" Target="https://www.sec.gov/Archives/edgar/data/900001/000090000121000004/0000900001-21-000004-index.htm" TargetMode="External"/><Relationship Id="rId123" Type="http://schemas.openxmlformats.org/officeDocument/2006/relationships/hyperlink" Target="https://www.sec.gov/Archives/edgar/data/900001/000090000122000005/0000900001-22-000005-index.htm" TargetMode="External"/><Relationship Id="rId124" Type="http://schemas.openxmlformats.org/officeDocument/2006/relationships/hyperlink" Target="https://www.sec.gov/Archives/edgar/data/900001/000090000123000006/0000900001-23-000006-index.htm" TargetMode="External"/><Relationship Id="rId125" Type="http://schemas.openxmlformats.org/officeDocument/2006/relationships/hyperlink" Target="https://www.sec.gov/Archives/edgar/data/900001/000090000124000007/0000900001-24-000007-index.htm" TargetMode="External"/><Relationship Id="rId126" Type="http://schemas.openxmlformats.org/officeDocument/2006/relationships/hyperlink" Target="https://www.sec.gov/Archives/edgar/data/900001/000090000125000008/0000900001-25-000008-index.htm" TargetMode="External"/><Relationship Id="rId127" Type="http://schemas.openxmlformats.org/officeDocument/2006/relationships/hyperlink" Target="https://www.sec.gov/Archives/edgar/data/900001/000090000125000008/0000900001-25-000008-index.htm" TargetMode="External"/><Relationship Id="rId128" Type="http://schemas.openxmlformats.org/officeDocument/2006/relationships/hyperlink" Target="https://www.sec.gov/Archives/edgar/data/900001/000090000125000008/0000900001-25-000008-index.htm" TargetMode="External"/><Relationship Id="rId129" Type="http://schemas.openxmlformats.org/officeDocument/2006/relationships/hyperlink" Target="https://www.sec.gov/Archives/edgar/data/900001/000090000119000002/0000900001-19-000002-index.htm" TargetMode="External"/><Relationship Id="rId130" Type="http://schemas.openxmlformats.org/officeDocument/2006/relationships/hyperlink" Target="https://www.sec.gov/Archives/edgar/data/900001/000090000120000003/0000900001-20-000003-index.htm" TargetMode="External"/><Relationship Id="rId131" Type="http://schemas.openxmlformats.org/officeDocument/2006/relationships/hyperlink" Target="https://www.sec.gov/Archives/edgar/data/900001/000090000121000004/0000900001-21-000004-index.htm" TargetMode="External"/><Relationship Id="rId132" Type="http://schemas.openxmlformats.org/officeDocument/2006/relationships/hyperlink" Target="https://www.sec.gov/Archives/edgar/data/900001/000090000122000005/0000900001-22-000005-index.htm" TargetMode="External"/><Relationship Id="rId133" Type="http://schemas.openxmlformats.org/officeDocument/2006/relationships/hyperlink" Target="https://www.sec.gov/Archives/edgar/data/900001/000090000123000006/0000900001-23-000006-index.htm" TargetMode="External"/><Relationship Id="rId134" Type="http://schemas.openxmlformats.org/officeDocument/2006/relationships/hyperlink" Target="https://www.sec.gov/Archives/edgar/data/900001/000090000124000007/0000900001-24-000007-index.htm" TargetMode="External"/><Relationship Id="rId135" Type="http://schemas.openxmlformats.org/officeDocument/2006/relationships/hyperlink" Target="https://www.sec.gov/Archives/edgar/data/900001/000090000125000008/0000900001-25-000008-index.htm" TargetMode="External"/><Relationship Id="rId136" Type="http://schemas.openxmlformats.org/officeDocument/2006/relationships/hyperlink" Target="https://www.sec.gov/Archives/edgar/data/900001/000090000125000008/0000900001-25-000008-index.htm" TargetMode="External"/><Relationship Id="rId137" Type="http://schemas.openxmlformats.org/officeDocument/2006/relationships/hyperlink" Target="https://www.sec.gov/Archives/edgar/data/900001/000090000119000002/0000900001-19-000002-index.htm" TargetMode="External"/><Relationship Id="rId138" Type="http://schemas.openxmlformats.org/officeDocument/2006/relationships/hyperlink" Target="https://www.sec.gov/Archives/edgar/data/900001/000090000120000003/0000900001-20-000003-index.htm" TargetMode="External"/><Relationship Id="rId139" Type="http://schemas.openxmlformats.org/officeDocument/2006/relationships/hyperlink" Target="https://www.sec.gov/Archives/edgar/data/900001/000090000121000004/0000900001-21-000004-index.htm" TargetMode="External"/><Relationship Id="rId140" Type="http://schemas.openxmlformats.org/officeDocument/2006/relationships/hyperlink" Target="https://www.sec.gov/Archives/edgar/data/900001/000090000122000005/0000900001-22-000005-index.htm" TargetMode="External"/><Relationship Id="rId141" Type="http://schemas.openxmlformats.org/officeDocument/2006/relationships/hyperlink" Target="https://www.sec.gov/Archives/edgar/data/900001/000090000123000006/0000900001-23-000006-index.htm" TargetMode="External"/><Relationship Id="rId142" Type="http://schemas.openxmlformats.org/officeDocument/2006/relationships/hyperlink" Target="https://www.sec.gov/Archives/edgar/data/900001/000090000124000007/0000900001-24-000007-index.htm" TargetMode="External"/><Relationship Id="rId143" Type="http://schemas.openxmlformats.org/officeDocument/2006/relationships/hyperlink" Target="https://www.sec.gov/Archives/edgar/data/900001/000090000125000008/0000900001-25-000008-index.htm" TargetMode="External"/><Relationship Id="rId144" Type="http://schemas.openxmlformats.org/officeDocument/2006/relationships/hyperlink" Target="https://www.sec.gov/Archives/edgar/data/900001/000090000125000008/0000900001-25-000008-index.htm" TargetMode="External"/><Relationship Id="rId145" Type="http://schemas.openxmlformats.org/officeDocument/2006/relationships/hyperlink" Target="https://www.sec.gov/Archives/edgar/data/900001/000090000119000002/0000900001-19-000002-index.htm" TargetMode="External"/><Relationship Id="rId146" Type="http://schemas.openxmlformats.org/officeDocument/2006/relationships/hyperlink" Target="https://www.sec.gov/Archives/edgar/data/900001/000090000120000003/0000900001-20-000003-index.htm" TargetMode="External"/><Relationship Id="rId147" Type="http://schemas.openxmlformats.org/officeDocument/2006/relationships/hyperlink" Target="https://www.sec.gov/Archives/edgar/data/900001/000090000121000004/0000900001-21-000004-index.htm" TargetMode="External"/><Relationship Id="rId148" Type="http://schemas.openxmlformats.org/officeDocument/2006/relationships/hyperlink" Target="https://www.sec.gov/Archives/edgar/data/900001/000090000122000005/0000900001-22-000005-index.htm" TargetMode="External"/><Relationship Id="rId149" Type="http://schemas.openxmlformats.org/officeDocument/2006/relationships/hyperlink" Target="https://www.sec.gov/Archives/edgar/data/900001/000090000123000006/0000900001-23-000006-index.htm" TargetMode="External"/><Relationship Id="rId150" Type="http://schemas.openxmlformats.org/officeDocument/2006/relationships/hyperlink" Target="https://www.sec.gov/Archives/edgar/data/900001/000090000124000007/0000900001-24-000007-index.htm" TargetMode="External"/><Relationship Id="rId151" Type="http://schemas.openxmlformats.org/officeDocument/2006/relationships/hyperlink" Target="https://www.sec.gov/Archives/edgar/data/900001/000090000125000008/0000900001-25-000008-index.htm" TargetMode="External"/><Relationship Id="rId152" Type="http://schemas.openxmlformats.org/officeDocument/2006/relationships/hyperlink" Target="https://www.sec.gov/Archives/edgar/data/900001/000090000125000008/0000900001-25-000008-index.htm" TargetMode="External"/><Relationship Id="rId153" Type="http://schemas.openxmlformats.org/officeDocument/2006/relationships/hyperlink" Target="https://www.sec.gov/Archives/edgar/data/900001/000090000120000003/0000900001-20-000003-index.htm" TargetMode="External"/><Relationship Id="rId154" Type="http://schemas.openxmlformats.org/officeDocument/2006/relationships/hyperlink" Target="https://www.sec.gov/Archives/edgar/data/900001/000090000121000004/0000900001-21-000004-index.htm" TargetMode="External"/><Relationship Id="rId155" Type="http://schemas.openxmlformats.org/officeDocument/2006/relationships/hyperlink" Target="https://www.sec.gov/Archives/edgar/data/900001/000090000122000005/0000900001-22-000005-index.htm" TargetMode="External"/><Relationship Id="rId156" Type="http://schemas.openxmlformats.org/officeDocument/2006/relationships/hyperlink" Target="https://www.sec.gov/Archives/edgar/data/900001/000090000123000006/0000900001-23-000006-index.htm" TargetMode="External"/><Relationship Id="rId157" Type="http://schemas.openxmlformats.org/officeDocument/2006/relationships/hyperlink" Target="https://www.sec.gov/Archives/edgar/data/900001/000090000124000007/0000900001-24-000007-index.htm" TargetMode="External"/><Relationship Id="rId158" Type="http://schemas.openxmlformats.org/officeDocument/2006/relationships/hyperlink" Target="https://www.sec.gov/Archives/edgar/data/900001/000090000125000008/0000900001-25-000008-index.htm" TargetMode="External"/><Relationship Id="rId159" Type="http://schemas.openxmlformats.org/officeDocument/2006/relationships/hyperlink" Target="https://www.sec.gov/Archives/edgar/data/900001/000090000125000008/0000900001-25-000008-index.htm" TargetMode="External"/><Relationship Id="rId160" Type="http://schemas.openxmlformats.org/officeDocument/2006/relationships/hyperlink" Target="https://www.sec.gov/Archives/edgar/data/900001/000090000125000008/0000900001-25-000008-index.htm" TargetMode="External"/><Relationship Id="rId161" Type="http://schemas.openxmlformats.org/officeDocument/2006/relationships/hyperlink" Target="https://www.sec.gov/Archives/edgar/data/900001/000090000119000002/0000900001-19-000002-index.htm" TargetMode="External"/><Relationship Id="rId162" Type="http://schemas.openxmlformats.org/officeDocument/2006/relationships/hyperlink" Target="https://www.sec.gov/Archives/edgar/data/900001/000090000120000003/0000900001-20-000003-index.htm" TargetMode="External"/><Relationship Id="rId163" Type="http://schemas.openxmlformats.org/officeDocument/2006/relationships/hyperlink" Target="https://www.sec.gov/Archives/edgar/data/900001/000090000121000004/0000900001-21-000004-index.htm" TargetMode="External"/><Relationship Id="rId164" Type="http://schemas.openxmlformats.org/officeDocument/2006/relationships/hyperlink" Target="https://www.sec.gov/Archives/edgar/data/900001/000090000122000005/0000900001-22-000005-index.htm" TargetMode="External"/><Relationship Id="rId165" Type="http://schemas.openxmlformats.org/officeDocument/2006/relationships/hyperlink" Target="https://www.sec.gov/Archives/edgar/data/900001/000090000123000006/0000900001-23-000006-index.htm" TargetMode="External"/><Relationship Id="rId166" Type="http://schemas.openxmlformats.org/officeDocument/2006/relationships/hyperlink" Target="https://www.sec.gov/Archives/edgar/data/900001/000090000124000007/0000900001-24-000007-index.htm" TargetMode="External"/><Relationship Id="rId167" Type="http://schemas.openxmlformats.org/officeDocument/2006/relationships/hyperlink" Target="https://www.sec.gov/Archives/edgar/data/900001/000090000125000008/0000900001-25-000008-index.htm" TargetMode="External"/><Relationship Id="rId168" Type="http://schemas.openxmlformats.org/officeDocument/2006/relationships/hyperlink" Target="https://www.sec.gov/Archives/edgar/data/900001/000090000125000008/0000900001-25-000008-index.htm" TargetMode="External"/><Relationship Id="rId169" Type="http://schemas.openxmlformats.org/officeDocument/2006/relationships/hyperlink" Target="https://www.sec.gov/Archives/edgar/data/900001/000090000119000002/0000900001-19-000002-index.htm" TargetMode="External"/><Relationship Id="rId170" Type="http://schemas.openxmlformats.org/officeDocument/2006/relationships/hyperlink" Target="https://www.sec.gov/Archives/edgar/data/900001/000090000120000003/0000900001-20-000003-index.htm" TargetMode="External"/><Relationship Id="rId171" Type="http://schemas.openxmlformats.org/officeDocument/2006/relationships/hyperlink" Target="https://www.sec.gov/Archives/edgar/data/900001/000090000121000004/0000900001-21-000004-index.htm" TargetMode="External"/><Relationship Id="rId172" Type="http://schemas.openxmlformats.org/officeDocument/2006/relationships/hyperlink" Target="https://www.sec.gov/Archives/edgar/data/900001/000090000122000005/0000900001-22-000005-index.htm" TargetMode="External"/><Relationship Id="rId173" Type="http://schemas.openxmlformats.org/officeDocument/2006/relationships/hyperlink" Target="https://www.sec.gov/Archives/edgar/data/900001/000090000123000006/0000900001-23-000006-index.htm" TargetMode="External"/><Relationship Id="rId174" Type="http://schemas.openxmlformats.org/officeDocument/2006/relationships/hyperlink" Target="https://www.sec.gov/Archives/edgar/data/900001/000090000124000007/0000900001-24-000007-index.htm" TargetMode="External"/><Relationship Id="rId175" Type="http://schemas.openxmlformats.org/officeDocument/2006/relationships/hyperlink" Target="https://www.sec.gov/Archives/edgar/data/900001/000090000125000008/0000900001-25-000008-index.htm" TargetMode="External"/><Relationship Id="rId176" Type="http://schemas.openxmlformats.org/officeDocument/2006/relationships/hyperlink" Target="https://www.sec.gov/Archives/edgar/data/900001/000090000125000008/0000900001-25-000008-index.htm" TargetMode="External"/><Relationship Id="rId177" Type="http://schemas.openxmlformats.org/officeDocument/2006/relationships/hyperlink" Target="https://www.sec.gov/Archives/edgar/data/900001/000090000120000003/0000900001-20-000003-index.htm" TargetMode="External"/><Relationship Id="rId178" Type="http://schemas.openxmlformats.org/officeDocument/2006/relationships/hyperlink" Target="https://www.sec.gov/Archives/edgar/data/900001/000090000121000004/0000900001-21-000004-index.htm" TargetMode="External"/><Relationship Id="rId179" Type="http://schemas.openxmlformats.org/officeDocument/2006/relationships/hyperlink" Target="https://www.sec.gov/Archives/edgar/data/900001/000090000122000005/0000900001-22-000005-index.htm" TargetMode="External"/><Relationship Id="rId180" Type="http://schemas.openxmlformats.org/officeDocument/2006/relationships/hyperlink" Target="https://www.sec.gov/Archives/edgar/data/900001/000090000123000006/0000900001-23-000006-index.htm" TargetMode="External"/><Relationship Id="rId181" Type="http://schemas.openxmlformats.org/officeDocument/2006/relationships/hyperlink" Target="https://www.sec.gov/Archives/edgar/data/900001/000090000124000007/0000900001-24-000007-index.htm" TargetMode="External"/><Relationship Id="rId182" Type="http://schemas.openxmlformats.org/officeDocument/2006/relationships/hyperlink" Target="https://www.sec.gov/Archives/edgar/data/900001/000090000125000008/0000900001-25-000008-index.htm" TargetMode="External"/><Relationship Id="rId183" Type="http://schemas.openxmlformats.org/officeDocument/2006/relationships/hyperlink" Target="https://www.sec.gov/Archives/edgar/data/900001/000090000125000008/0000900001-25-000008-index.htm" TargetMode="External"/><Relationship Id="rId184" Type="http://schemas.openxmlformats.org/officeDocument/2006/relationships/hyperlink" Target="https://www.sec.gov/Archives/edgar/data/900001/000090000125000008/0000900001-25-000008-index.htm" TargetMode="External"/><Relationship Id="rId185" Type="http://schemas.openxmlformats.org/officeDocument/2006/relationships/hyperlink" Target="https://www.sec.gov/Archives/edgar/data/900001/000090000119000002/0000900001-19-000002-index.htm" TargetMode="External"/><Relationship Id="rId186" Type="http://schemas.openxmlformats.org/officeDocument/2006/relationships/hyperlink" Target="https://www.sec.gov/Archives/edgar/data/900001/000090000120000003/0000900001-20-000003-index.htm" TargetMode="External"/><Relationship Id="rId187" Type="http://schemas.openxmlformats.org/officeDocument/2006/relationships/hyperlink" Target="https://www.sec.gov/Archives/edgar/data/900001/000090000121000004/0000900001-21-000004-index.htm" TargetMode="External"/><Relationship Id="rId188" Type="http://schemas.openxmlformats.org/officeDocument/2006/relationships/hyperlink" Target="https://www.sec.gov/Archives/edgar/data/900001/000090000122000005/0000900001-22-000005-index.htm" TargetMode="External"/><Relationship Id="rId189" Type="http://schemas.openxmlformats.org/officeDocument/2006/relationships/hyperlink" Target="https://www.sec.gov/Archives/edgar/data/900001/000090000123000006/0000900001-23-000006-index.htm" TargetMode="External"/><Relationship Id="rId190" Type="http://schemas.openxmlformats.org/officeDocument/2006/relationships/hyperlink" Target="https://www.sec.gov/Archives/edgar/data/900001/000090000124000007/0000900001-24-000007-index.htm" TargetMode="External"/><Relationship Id="rId191" Type="http://schemas.openxmlformats.org/officeDocument/2006/relationships/hyperlink" Target="https://www.sec.gov/Archives/edgar/data/900001/000090000125000008/0000900001-25-000008-index.htm" TargetMode="External"/><Relationship Id="rId192" Type="http://schemas.openxmlformats.org/officeDocument/2006/relationships/hyperlink" Target="https://www.sec.gov/Archives/edgar/data/900001/000090000125000008/0000900001-25-000008-index.htm" TargetMode="External"/><Relationship Id="rId193" Type="http://schemas.openxmlformats.org/officeDocument/2006/relationships/hyperlink" Target="https://www.sec.gov/Archives/edgar/data/900001/000090000120000003/0000900001-20-000003-index.htm" TargetMode="External"/><Relationship Id="rId194" Type="http://schemas.openxmlformats.org/officeDocument/2006/relationships/hyperlink" Target="https://www.sec.gov/Archives/edgar/data/900001/000090000121000004/0000900001-21-000004-index.htm" TargetMode="External"/><Relationship Id="rId195" Type="http://schemas.openxmlformats.org/officeDocument/2006/relationships/hyperlink" Target="https://www.sec.gov/Archives/edgar/data/900001/000090000122000005/0000900001-22-000005-index.htm" TargetMode="External"/><Relationship Id="rId196" Type="http://schemas.openxmlformats.org/officeDocument/2006/relationships/hyperlink" Target="https://www.sec.gov/Archives/edgar/data/900001/000090000123000006/0000900001-23-000006-index.htm" TargetMode="External"/><Relationship Id="rId197" Type="http://schemas.openxmlformats.org/officeDocument/2006/relationships/hyperlink" Target="https://www.sec.gov/Archives/edgar/data/900001/000090000124000007/0000900001-24-000007-index.htm" TargetMode="External"/><Relationship Id="rId198" Type="http://schemas.openxmlformats.org/officeDocument/2006/relationships/hyperlink" Target="https://www.sec.gov/Archives/edgar/data/900001/000090000125000008/0000900001-25-000008-index.htm" TargetMode="External"/><Relationship Id="rId199" Type="http://schemas.openxmlformats.org/officeDocument/2006/relationships/hyperlink" Target="https://www.sec.gov/Archives/edgar/data/900001/000090000125000008/0000900001-25-000008-index.htm" TargetMode="External"/><Relationship Id="rId200" Type="http://schemas.openxmlformats.org/officeDocument/2006/relationships/hyperlink" Target="https://www.sec.gov/Archives/edgar/data/900001/000090000125000008/0000900001-25-000008-index.htm" TargetMode="External"/><Relationship Id="rId201" Type="http://schemas.openxmlformats.org/officeDocument/2006/relationships/hyperlink" Target="https://www.sec.gov/Archives/edgar/data/900001/000090000120000003/0000900001-20-000003-index.htm" TargetMode="External"/><Relationship Id="rId202" Type="http://schemas.openxmlformats.org/officeDocument/2006/relationships/hyperlink" Target="https://www.sec.gov/Archives/edgar/data/900001/000090000121000004/0000900001-21-000004-index.htm" TargetMode="External"/><Relationship Id="rId203" Type="http://schemas.openxmlformats.org/officeDocument/2006/relationships/hyperlink" Target="https://www.sec.gov/Archives/edgar/data/900001/000090000122000005/0000900001-22-000005-index.htm" TargetMode="External"/><Relationship Id="rId204" Type="http://schemas.openxmlformats.org/officeDocument/2006/relationships/hyperlink" Target="https://www.sec.gov/Archives/edgar/data/900001/000090000123000006/0000900001-23-000006-index.htm" TargetMode="External"/><Relationship Id="rId205" Type="http://schemas.openxmlformats.org/officeDocument/2006/relationships/hyperlink" Target="https://www.sec.gov/Archives/edgar/data/900001/000090000124000007/0000900001-24-000007-index.htm" TargetMode="External"/><Relationship Id="rId206" Type="http://schemas.openxmlformats.org/officeDocument/2006/relationships/hyperlink" Target="https://www.sec.gov/Archives/edgar/data/900001/000090000125000008/0000900001-25-000008-index.htm" TargetMode="External"/><Relationship Id="rId207" Type="http://schemas.openxmlformats.org/officeDocument/2006/relationships/hyperlink" Target="https://www.sec.gov/Archives/edgar/data/900001/000090000125000008/0000900001-25-000008-index.htm" TargetMode="External"/><Relationship Id="rId208" Type="http://schemas.openxmlformats.org/officeDocument/2006/relationships/hyperlink" Target="https://www.sec.gov/Archives/edgar/data/900001/000090000125000008/0000900001-25-000008-index.htm" TargetMode="External"/><Relationship Id="rId209" Type="http://schemas.openxmlformats.org/officeDocument/2006/relationships/hyperlink" Target="https://www.sec.gov/Archives/edgar/data/900001/000090000120000003/0000900001-20-000003-index.htm" TargetMode="External"/><Relationship Id="rId210" Type="http://schemas.openxmlformats.org/officeDocument/2006/relationships/hyperlink" Target="https://www.sec.gov/Archives/edgar/data/900001/000090000121000004/0000900001-21-000004-index.htm" TargetMode="External"/><Relationship Id="rId211" Type="http://schemas.openxmlformats.org/officeDocument/2006/relationships/hyperlink" Target="https://www.sec.gov/Archives/edgar/data/900001/000090000122000005/0000900001-22-000005-index.htm" TargetMode="External"/><Relationship Id="rId212" Type="http://schemas.openxmlformats.org/officeDocument/2006/relationships/hyperlink" Target="https://www.sec.gov/Archives/edgar/data/900001/000090000123000006/0000900001-23-000006-index.htm" TargetMode="External"/><Relationship Id="rId213" Type="http://schemas.openxmlformats.org/officeDocument/2006/relationships/hyperlink" Target="https://www.sec.gov/Archives/edgar/data/900001/000090000124000007/0000900001-24-000007-index.htm" TargetMode="External"/><Relationship Id="rId214" Type="http://schemas.openxmlformats.org/officeDocument/2006/relationships/hyperlink" Target="https://www.sec.gov/Archives/edgar/data/900001/000090000125000008/0000900001-25-000008-index.htm" TargetMode="External"/><Relationship Id="rId215" Type="http://schemas.openxmlformats.org/officeDocument/2006/relationships/hyperlink" Target="https://www.sec.gov/Archives/edgar/data/900001/000090000125000008/0000900001-25-000008-index.htm" TargetMode="External"/><Relationship Id="rId216" Type="http://schemas.openxmlformats.org/officeDocument/2006/relationships/hyperlink" Target="https://www.sec.gov/Archives/edgar/data/900001/000090000125000008/0000900001-25-000008-index.htm" TargetMode="External"/><Relationship Id="rId217" Type="http://schemas.openxmlformats.org/officeDocument/2006/relationships/hyperlink" Target="https://www.sec.gov/Archives/edgar/data/900001/000090000119000002/0000900001-19-000002-index.htm" TargetMode="External"/><Relationship Id="rId218" Type="http://schemas.openxmlformats.org/officeDocument/2006/relationships/hyperlink" Target="https://www.sec.gov/Archives/edgar/data/900001/000090000120000003/0000900001-20-000003-index.htm" TargetMode="External"/><Relationship Id="rId219" Type="http://schemas.openxmlformats.org/officeDocument/2006/relationships/hyperlink" Target="https://www.sec.gov/Archives/edgar/data/900001/000090000121000004/0000900001-21-000004-index.htm" TargetMode="External"/><Relationship Id="rId220" Type="http://schemas.openxmlformats.org/officeDocument/2006/relationships/hyperlink" Target="https://www.sec.gov/Archives/edgar/data/900001/000090000122000005/0000900001-22-000005-index.htm" TargetMode="External"/><Relationship Id="rId221" Type="http://schemas.openxmlformats.org/officeDocument/2006/relationships/hyperlink" Target="https://www.sec.gov/Archives/edgar/data/900001/000090000123000006/0000900001-23-000006-index.htm" TargetMode="External"/><Relationship Id="rId222" Type="http://schemas.openxmlformats.org/officeDocument/2006/relationships/hyperlink" Target="https://www.sec.gov/Archives/edgar/data/900001/000090000124000007/0000900001-24-000007-index.htm" TargetMode="External"/><Relationship Id="rId223" Type="http://schemas.openxmlformats.org/officeDocument/2006/relationships/hyperlink" Target="https://www.sec.gov/Archives/edgar/data/900001/000090000125000008/0000900001-25-000008-index.htm" TargetMode="External"/><Relationship Id="rId224" Type="http://schemas.openxmlformats.org/officeDocument/2006/relationships/hyperlink" Target="https://www.sec.gov/Archives/edgar/data/900001/000090000125000008/0000900001-25-000008-index.htm" TargetMode="External"/><Relationship Id="rId225" Type="http://schemas.openxmlformats.org/officeDocument/2006/relationships/hyperlink" Target="https://www.sec.gov/Archives/edgar/data/900001/000090000119000002/0000900001-19-000002-index.htm" TargetMode="External"/><Relationship Id="rId226" Type="http://schemas.openxmlformats.org/officeDocument/2006/relationships/hyperlink" Target="https://www.sec.gov/Archives/edgar/data/900001/000090000120000003/0000900001-20-000003-index.htm" TargetMode="External"/><Relationship Id="rId227" Type="http://schemas.openxmlformats.org/officeDocument/2006/relationships/hyperlink" Target="https://www.sec.gov/Archives/edgar/data/900001/000090000121000004/0000900001-21-000004-index.htm" TargetMode="External"/><Relationship Id="rId228" Type="http://schemas.openxmlformats.org/officeDocument/2006/relationships/hyperlink" Target="https://www.sec.gov/Archives/edgar/data/900001/000090000122000005/0000900001-22-000005-index.htm" TargetMode="External"/><Relationship Id="rId229" Type="http://schemas.openxmlformats.org/officeDocument/2006/relationships/hyperlink" Target="https://www.sec.gov/Archives/edgar/data/900001/000090000123000006/0000900001-23-000006-index.htm" TargetMode="External"/><Relationship Id="rId230" Type="http://schemas.openxmlformats.org/officeDocument/2006/relationships/hyperlink" Target="https://www.sec.gov/Archives/edgar/data/900001/000090000124000007/0000900001-24-000007-index.htm" TargetMode="External"/><Relationship Id="rId231" Type="http://schemas.openxmlformats.org/officeDocument/2006/relationships/hyperlink" Target="https://www.sec.gov/Archives/edgar/data/900001/000090000125000008/0000900001-25-000008-index.htm" TargetMode="External"/><Relationship Id="rId232" Type="http://schemas.openxmlformats.org/officeDocument/2006/relationships/hyperlink" Target="https://www.sec.gov/Archives/edgar/data/900001/000090000125000008/0000900001-25-000008-index.htm" TargetMode="External"/><Relationship Id="rId233" Type="http://schemas.openxmlformats.org/officeDocument/2006/relationships/hyperlink" Target="https://www.sec.gov/Archives/edgar/data/900001/000090000119000002/0000900001-19-000002-index.htm" TargetMode="External"/><Relationship Id="rId234" Type="http://schemas.openxmlformats.org/officeDocument/2006/relationships/hyperlink" Target="https://www.sec.gov/Archives/edgar/data/900001/000090000120000003/0000900001-20-000003-index.htm" TargetMode="External"/><Relationship Id="rId235" Type="http://schemas.openxmlformats.org/officeDocument/2006/relationships/hyperlink" Target="https://www.sec.gov/Archives/edgar/data/900001/000090000121000004/0000900001-21-000004-index.htm" TargetMode="External"/><Relationship Id="rId236" Type="http://schemas.openxmlformats.org/officeDocument/2006/relationships/hyperlink" Target="https://www.sec.gov/Archives/edgar/data/900001/000090000122000005/0000900001-22-000005-index.htm" TargetMode="External"/><Relationship Id="rId237" Type="http://schemas.openxmlformats.org/officeDocument/2006/relationships/hyperlink" Target="https://www.sec.gov/Archives/edgar/data/900001/000090000123000006/0000900001-23-000006-index.htm" TargetMode="External"/><Relationship Id="rId238" Type="http://schemas.openxmlformats.org/officeDocument/2006/relationships/hyperlink" Target="https://www.sec.gov/Archives/edgar/data/900001/000090000124000007/0000900001-24-000007-index.htm" TargetMode="External"/><Relationship Id="rId239" Type="http://schemas.openxmlformats.org/officeDocument/2006/relationships/hyperlink" Target="https://www.sec.gov/Archives/edgar/data/900001/000090000125000008/0000900001-25-000008-index.htm" TargetMode="External"/><Relationship Id="rId240" Type="http://schemas.openxmlformats.org/officeDocument/2006/relationships/hyperlink" Target="https://www.sec.gov/Archives/edgar/data/900001/000090000125000008/0000900001-25-000008-index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0</v>
      </c>
    </row>
    <row r="4" customFormat="false" ht="22.0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str">
        <f aca="false">Valuation!$C$20</f>
        <v>HOLD</v>
      </c>
    </row>
    <row r="8" customFormat="false" ht="15" hidden="false" customHeight="false" outlineLevel="0" collapsed="false">
      <c r="B8" s="4" t="s">
        <v>4</v>
      </c>
      <c r="C8" s="6" t="n">
        <f aca="false">Valuation!$C$17</f>
        <v>48.5915255112914</v>
      </c>
    </row>
    <row r="9" customFormat="false" ht="15" hidden="false" customHeight="false" outlineLevel="0" collapsed="false">
      <c r="B9" s="4" t="s">
        <v>5</v>
      </c>
      <c r="C9" s="6" t="n">
        <f aca="false">Assumptions!$C$17</f>
        <v>44.17</v>
      </c>
    </row>
    <row r="10" customFormat="false" ht="15" hidden="false" customHeight="false" outlineLevel="0" collapsed="false">
      <c r="B10" s="4" t="s">
        <v>6</v>
      </c>
      <c r="C10" s="7" t="n">
        <f aca="false">Valuation!$C$19</f>
        <v>0.100102456674017</v>
      </c>
    </row>
    <row r="11" customFormat="false" ht="15" hidden="false" customHeight="false" outlineLevel="0" collapsed="false">
      <c r="B11" s="4" t="s">
        <v>7</v>
      </c>
      <c r="C11" s="8" t="n">
        <f aca="false">Assumptions!$C$23</f>
        <v>60649.827</v>
      </c>
    </row>
    <row r="12" customFormat="false" ht="15" hidden="false" customHeight="false" outlineLevel="0" collapsed="false">
      <c r="B12" s="4" t="s">
        <v>8</v>
      </c>
      <c r="C12" s="8" t="n">
        <f aca="false">Assumptions!$C$23+Assumptions!$C$22</f>
        <v>56679.827</v>
      </c>
    </row>
    <row r="13" customFormat="false" ht="15" hidden="false" customHeight="false" outlineLevel="0" collapsed="false">
      <c r="B13" s="4" t="s">
        <v>9</v>
      </c>
      <c r="C13" s="7" t="n">
        <f aca="false">WACC!$C$24</f>
        <v>0.0888351000596193</v>
      </c>
    </row>
    <row r="14" customFormat="false" ht="15" hidden="false" customHeight="false" outlineLevel="0" collapsed="false">
      <c r="B14" s="4" t="s">
        <v>10</v>
      </c>
      <c r="C14" s="6" t="n">
        <f aca="false">DCF!$C$32</f>
        <v>49.528966766693</v>
      </c>
    </row>
    <row r="15" customFormat="false" ht="15" hidden="false" customHeight="false" outlineLevel="0" collapsed="false">
      <c r="B15" s="4" t="s">
        <v>11</v>
      </c>
      <c r="C15" s="6" t="n">
        <f aca="false">DCF!$C$42</f>
        <v>57.8358827682045</v>
      </c>
    </row>
    <row r="18" customFormat="false" ht="15" hidden="false" customHeight="false" outlineLevel="0" collapsed="false">
      <c r="B18" s="9" t="s">
        <v>12</v>
      </c>
    </row>
    <row r="19" customFormat="false" ht="15" hidden="false" customHeight="false" outlineLevel="0" collapsed="false">
      <c r="B19" s="10" t="s">
        <v>13</v>
      </c>
    </row>
    <row r="20" customFormat="false" ht="15" hidden="false" customHeight="false" outlineLevel="0" collapsed="false">
      <c r="B20" s="10" t="s">
        <v>14</v>
      </c>
    </row>
    <row r="21" customFormat="false" ht="15" hidden="false" customHeight="false" outlineLevel="0" collapsed="false">
      <c r="B21" s="10" t="s">
        <v>15</v>
      </c>
    </row>
    <row r="22" customFormat="false" ht="15" hidden="false" customHeight="false" outlineLevel="0" collapsed="false">
      <c r="B22" s="10" t="s">
        <v>16</v>
      </c>
    </row>
    <row r="23" customFormat="false" ht="15" hidden="false" customHeight="false" outlineLevel="0" collapsed="false">
      <c r="B23" s="10" t="s">
        <v>17</v>
      </c>
    </row>
    <row r="25" customFormat="false" ht="15" hidden="false" customHeight="false" outlineLevel="0" collapsed="false">
      <c r="B25" s="11" t="s">
        <v>18</v>
      </c>
    </row>
    <row r="27" customFormat="false" ht="15" hidden="false" customHeight="false" outlineLevel="0" collapsed="false">
      <c r="B27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H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35" hidden="false" customHeight="false" outlineLevel="0" collapsed="false">
      <c r="B1" s="13" t="s">
        <v>20</v>
      </c>
    </row>
    <row r="2" customFormat="false" ht="15" hidden="false" customHeight="false" outlineLevel="0" collapsed="false">
      <c r="B2" s="3" t="s">
        <v>21</v>
      </c>
    </row>
    <row r="3" customFormat="false" ht="15" hidden="false" customHeight="false" outlineLevel="0" collapsed="false">
      <c r="B3" s="9" t="s">
        <v>22</v>
      </c>
    </row>
    <row r="4" customFormat="false" ht="15" hidden="false" customHeight="false" outlineLevel="0" collapsed="false">
      <c r="B4" s="10" t="s">
        <v>23</v>
      </c>
      <c r="C4" s="14" t="n">
        <v>1</v>
      </c>
    </row>
    <row r="6" customFormat="false" ht="15" hidden="false" customHeight="false" outlineLevel="0" collapsed="false">
      <c r="B6" s="9" t="s">
        <v>24</v>
      </c>
    </row>
    <row r="7" customFormat="false" ht="15" hidden="false" customHeight="false" outlineLevel="0" collapsed="false">
      <c r="B7" s="10" t="s">
        <v>25</v>
      </c>
      <c r="C7" s="15" t="n">
        <v>0.042</v>
      </c>
      <c r="H7" s="3" t="s">
        <v>26</v>
      </c>
    </row>
    <row r="8" customFormat="false" ht="15" hidden="false" customHeight="false" outlineLevel="0" collapsed="false">
      <c r="B8" s="10" t="s">
        <v>27</v>
      </c>
      <c r="C8" s="16" t="n">
        <v>0.045</v>
      </c>
      <c r="H8" s="3" t="s">
        <v>28</v>
      </c>
    </row>
    <row r="9" customFormat="false" ht="15" hidden="false" customHeight="false" outlineLevel="0" collapsed="false">
      <c r="B9" s="10" t="s">
        <v>29</v>
      </c>
      <c r="C9" s="15" t="n">
        <v>0.25</v>
      </c>
      <c r="H9" s="3" t="s">
        <v>30</v>
      </c>
    </row>
    <row r="10" customFormat="false" ht="15" hidden="false" customHeight="false" outlineLevel="0" collapsed="false">
      <c r="B10" s="10" t="s">
        <v>31</v>
      </c>
      <c r="C10" s="15" t="n">
        <v>0.007</v>
      </c>
      <c r="H10" s="3" t="s">
        <v>32</v>
      </c>
    </row>
    <row r="11" customFormat="false" ht="15" hidden="false" customHeight="false" outlineLevel="0" collapsed="false">
      <c r="B11" s="10" t="s">
        <v>33</v>
      </c>
      <c r="C11" s="16" t="n">
        <v>0.025</v>
      </c>
      <c r="H11" s="3" t="s">
        <v>34</v>
      </c>
    </row>
    <row r="12" customFormat="false" ht="15" hidden="false" customHeight="false" outlineLevel="0" collapsed="false">
      <c r="B12" s="10" t="s">
        <v>35</v>
      </c>
      <c r="C12" s="17" t="n">
        <v>12.500010432516</v>
      </c>
      <c r="H12" s="3" t="s">
        <v>36</v>
      </c>
    </row>
    <row r="13" customFormat="false" ht="15" hidden="false" customHeight="false" outlineLevel="0" collapsed="false">
      <c r="B13" s="10" t="s">
        <v>37</v>
      </c>
      <c r="C13" s="15" t="n">
        <v>0.02</v>
      </c>
      <c r="H13" s="3" t="s">
        <v>38</v>
      </c>
    </row>
    <row r="14" customFormat="false" ht="15" hidden="false" customHeight="false" outlineLevel="0" collapsed="false">
      <c r="B14" s="10" t="s">
        <v>39</v>
      </c>
      <c r="C14" s="18" t="n">
        <v>1</v>
      </c>
      <c r="H14" s="3" t="s">
        <v>40</v>
      </c>
    </row>
    <row r="16" customFormat="false" ht="15" hidden="false" customHeight="false" outlineLevel="0" collapsed="false">
      <c r="B16" s="9" t="s">
        <v>41</v>
      </c>
    </row>
    <row r="17" customFormat="false" ht="15" hidden="false" customHeight="false" outlineLevel="0" collapsed="false">
      <c r="B17" s="10" t="s">
        <v>42</v>
      </c>
      <c r="C17" s="19" t="n">
        <v>44.17</v>
      </c>
      <c r="H17" s="3" t="s">
        <v>43</v>
      </c>
    </row>
    <row r="18" customFormat="false" ht="15" hidden="false" customHeight="false" outlineLevel="0" collapsed="false">
      <c r="B18" s="10" t="s">
        <v>44</v>
      </c>
      <c r="C18" s="20" t="n">
        <v>1373.1</v>
      </c>
      <c r="H18" s="3" t="s">
        <v>45</v>
      </c>
    </row>
    <row r="19" customFormat="false" ht="15" hidden="false" customHeight="false" outlineLevel="0" collapsed="false">
      <c r="B19" s="10" t="s">
        <v>46</v>
      </c>
      <c r="C19" s="21" t="n">
        <v>11970</v>
      </c>
      <c r="H19" s="3" t="s">
        <v>47</v>
      </c>
    </row>
    <row r="20" customFormat="false" ht="15" hidden="false" customHeight="false" outlineLevel="0" collapsed="false">
      <c r="B20" s="10" t="s">
        <v>48</v>
      </c>
      <c r="C20" s="21" t="n">
        <v>3780</v>
      </c>
      <c r="H20" s="3" t="s">
        <v>47</v>
      </c>
    </row>
    <row r="21" customFormat="false" ht="15" hidden="false" customHeight="false" outlineLevel="0" collapsed="false">
      <c r="B21" s="10" t="s">
        <v>49</v>
      </c>
      <c r="C21" s="21" t="n">
        <v>11780</v>
      </c>
      <c r="H21" s="3" t="s">
        <v>50</v>
      </c>
    </row>
    <row r="22" customFormat="false" ht="15" hidden="false" customHeight="false" outlineLevel="0" collapsed="false">
      <c r="B22" s="22" t="s">
        <v>51</v>
      </c>
      <c r="C22" s="23" t="n">
        <f aca="false">Assumptions!$C$21-Assumptions!$C$19-Assumptions!$C$20</f>
        <v>-3970</v>
      </c>
    </row>
    <row r="23" customFormat="false" ht="15" hidden="false" customHeight="false" outlineLevel="0" collapsed="false">
      <c r="B23" s="22" t="s">
        <v>52</v>
      </c>
      <c r="C23" s="23" t="n">
        <f aca="false">Assumptions!$C$17*Assumptions!$C$18</f>
        <v>60649.827</v>
      </c>
    </row>
    <row r="25" customFormat="false" ht="15" hidden="false" customHeight="false" outlineLevel="0" collapsed="false">
      <c r="B25" s="9" t="s">
        <v>53</v>
      </c>
    </row>
    <row r="26" customFormat="false" ht="15" hidden="false" customHeight="false" outlineLevel="0" collapsed="false">
      <c r="B26" s="24" t="s">
        <v>54</v>
      </c>
      <c r="C26" s="25" t="s">
        <v>55</v>
      </c>
      <c r="D26" s="25" t="s">
        <v>56</v>
      </c>
      <c r="E26" s="25" t="s">
        <v>57</v>
      </c>
      <c r="F26" s="25" t="s">
        <v>58</v>
      </c>
      <c r="G26" s="25" t="s">
        <v>59</v>
      </c>
    </row>
    <row r="27" customFormat="false" ht="15" hidden="false" customHeight="false" outlineLevel="0" collapsed="false">
      <c r="B27" s="10" t="s">
        <v>60</v>
      </c>
      <c r="C27" s="16" t="n">
        <v>-0.0192473395664921</v>
      </c>
      <c r="D27" s="16" t="n">
        <v>-0.00464383800454609</v>
      </c>
      <c r="E27" s="16" t="n">
        <v>0.00995966355739988</v>
      </c>
      <c r="F27" s="16" t="n">
        <v>0.0245631651193458</v>
      </c>
      <c r="G27" s="16" t="n">
        <v>0.0391666666812918</v>
      </c>
      <c r="H27" s="3" t="s">
        <v>61</v>
      </c>
    </row>
    <row r="28" customFormat="false" ht="15" hidden="false" customHeight="false" outlineLevel="0" collapsed="false">
      <c r="B28" s="10" t="s">
        <v>62</v>
      </c>
      <c r="C28" s="16" t="n">
        <v>0.0865936254842868</v>
      </c>
      <c r="D28" s="16" t="n">
        <v>0.10318725098558</v>
      </c>
      <c r="E28" s="16" t="n">
        <v>0.119780876486872</v>
      </c>
      <c r="F28" s="16" t="n">
        <v>0.136374501988165</v>
      </c>
      <c r="G28" s="16" t="n">
        <v>0.152968127489458</v>
      </c>
      <c r="H28" s="3" t="s">
        <v>63</v>
      </c>
    </row>
    <row r="29" customFormat="false" ht="15" hidden="false" customHeight="false" outlineLevel="0" collapsed="false">
      <c r="B29" s="10" t="s">
        <v>64</v>
      </c>
      <c r="C29" s="15" t="n">
        <v>0.189999999943723</v>
      </c>
      <c r="H29" s="3" t="s">
        <v>65</v>
      </c>
    </row>
    <row r="30" customFormat="false" ht="15" hidden="false" customHeight="false" outlineLevel="0" collapsed="false">
      <c r="B30" s="10" t="s">
        <v>66</v>
      </c>
      <c r="C30" s="15" t="n">
        <v>0.0249667994680853</v>
      </c>
      <c r="H30" s="3" t="s">
        <v>67</v>
      </c>
    </row>
    <row r="31" customFormat="false" ht="15" hidden="false" customHeight="false" outlineLevel="0" collapsed="false">
      <c r="B31" s="10" t="s">
        <v>68</v>
      </c>
      <c r="C31" s="15" t="n">
        <v>0.0299601593638565</v>
      </c>
      <c r="H31" s="3" t="s">
        <v>69</v>
      </c>
    </row>
    <row r="32" customFormat="false" ht="15" hidden="false" customHeight="false" outlineLevel="0" collapsed="false">
      <c r="B32" s="10" t="s">
        <v>70</v>
      </c>
      <c r="C32" s="15" t="n">
        <v>0.166977954840305</v>
      </c>
      <c r="H32" s="3" t="s">
        <v>71</v>
      </c>
    </row>
    <row r="34" customFormat="false" ht="15" hidden="false" customHeight="false" outlineLevel="0" collapsed="false">
      <c r="B34" s="9" t="s">
        <v>72</v>
      </c>
    </row>
    <row r="35" customFormat="false" ht="15" hidden="false" customHeight="false" outlineLevel="0" collapsed="false">
      <c r="B35" s="24" t="s">
        <v>73</v>
      </c>
      <c r="C35" s="25" t="s">
        <v>74</v>
      </c>
      <c r="D35" s="25" t="s">
        <v>75</v>
      </c>
      <c r="E35" s="25" t="s">
        <v>76</v>
      </c>
    </row>
    <row r="36" customFormat="false" ht="15" hidden="false" customHeight="false" outlineLevel="0" collapsed="false">
      <c r="B36" s="10" t="s">
        <v>77</v>
      </c>
      <c r="C36" s="15" t="n">
        <v>0</v>
      </c>
      <c r="D36" s="15" t="n">
        <v>-0.03</v>
      </c>
      <c r="E36" s="15" t="n">
        <v>0.03</v>
      </c>
    </row>
    <row r="37" customFormat="false" ht="15" hidden="false" customHeight="false" outlineLevel="0" collapsed="false">
      <c r="B37" s="10" t="s">
        <v>78</v>
      </c>
      <c r="C37" s="15" t="n">
        <v>0</v>
      </c>
      <c r="D37" s="15" t="n">
        <v>-0.02</v>
      </c>
      <c r="E37" s="15" t="n">
        <v>0.02</v>
      </c>
    </row>
    <row r="38" customFormat="false" ht="15" hidden="false" customHeight="false" outlineLevel="0" collapsed="false">
      <c r="B38" s="10" t="s">
        <v>9</v>
      </c>
      <c r="C38" s="15" t="n">
        <v>0</v>
      </c>
      <c r="D38" s="15" t="n">
        <v>0.01</v>
      </c>
      <c r="E38" s="15" t="n">
        <v>-0.01</v>
      </c>
    </row>
    <row r="39" customFormat="false" ht="15" hidden="false" customHeight="false" outlineLevel="0" collapsed="false">
      <c r="B39" s="10" t="s">
        <v>79</v>
      </c>
      <c r="C39" s="15" t="n">
        <v>0</v>
      </c>
      <c r="D39" s="15" t="n">
        <v>-0.005</v>
      </c>
      <c r="E39" s="15" t="n">
        <v>0.005</v>
      </c>
    </row>
    <row r="41" customFormat="false" ht="15" hidden="false" customHeight="false" outlineLevel="0" collapsed="false">
      <c r="B41" s="9" t="s">
        <v>80</v>
      </c>
    </row>
    <row r="42" customFormat="false" ht="15" hidden="false" customHeight="false" outlineLevel="0" collapsed="false">
      <c r="B42" s="10" t="s">
        <v>81</v>
      </c>
      <c r="C42" s="15" t="n">
        <v>0.5</v>
      </c>
    </row>
    <row r="43" customFormat="false" ht="15" hidden="false" customHeight="false" outlineLevel="0" collapsed="false">
      <c r="B43" s="10" t="s">
        <v>82</v>
      </c>
      <c r="C43" s="15" t="n">
        <v>0.25</v>
      </c>
    </row>
    <row r="44" customFormat="false" ht="15" hidden="false" customHeight="false" outlineLevel="0" collapsed="false">
      <c r="B44" s="10" t="s">
        <v>83</v>
      </c>
      <c r="C44" s="15" t="n">
        <v>0.25</v>
      </c>
    </row>
    <row r="45" customFormat="false" ht="15" hidden="false" customHeight="false" outlineLevel="0" collapsed="false">
      <c r="B45" s="10" t="s">
        <v>84</v>
      </c>
      <c r="C45" s="15" t="n">
        <v>0.15</v>
      </c>
    </row>
    <row r="46" customFormat="false" ht="15" hidden="false" customHeight="false" outlineLevel="0" collapsed="false">
      <c r="B46" s="10" t="s">
        <v>85</v>
      </c>
      <c r="C46" s="15" t="n">
        <v>-0.1</v>
      </c>
    </row>
  </sheetData>
  <dataValidations count="1">
    <dataValidation allowBlank="false" errorStyle="stop" operator="between" showDropDown="false" showErrorMessage="false" showInputMessage="false" sqref="C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J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2" min="3" style="0" width="12"/>
  </cols>
  <sheetData>
    <row r="1" customFormat="false" ht="17.35" hidden="false" customHeight="false" outlineLevel="0" collapsed="false">
      <c r="B1" s="13" t="s">
        <v>86</v>
      </c>
    </row>
    <row r="2" customFormat="false" ht="15" hidden="false" customHeight="false" outlineLevel="0" collapsed="false">
      <c r="B2" s="3" t="s">
        <v>87</v>
      </c>
    </row>
    <row r="4" customFormat="false" ht="15" hidden="false" customHeight="false" outlineLevel="0" collapsed="false">
      <c r="B4" s="24" t="s">
        <v>88</v>
      </c>
      <c r="C4" s="25" t="s">
        <v>89</v>
      </c>
      <c r="D4" s="25" t="s">
        <v>90</v>
      </c>
      <c r="E4" s="25" t="s">
        <v>91</v>
      </c>
      <c r="F4" s="25" t="s">
        <v>92</v>
      </c>
      <c r="G4" s="25" t="s">
        <v>93</v>
      </c>
      <c r="H4" s="25" t="s">
        <v>94</v>
      </c>
      <c r="I4" s="25" t="s">
        <v>95</v>
      </c>
      <c r="J4" s="25" t="s">
        <v>96</v>
      </c>
    </row>
    <row r="5" customFormat="false" ht="15" hidden="false" customHeight="false" outlineLevel="0" collapsed="false">
      <c r="B5" s="22" t="s">
        <v>97</v>
      </c>
      <c r="C5" s="21" t="n">
        <v>34026</v>
      </c>
      <c r="D5" s="21" t="n">
        <v>32324.7</v>
      </c>
      <c r="E5" s="21" t="n">
        <v>38466.393</v>
      </c>
      <c r="F5" s="21" t="n">
        <v>40389.71265</v>
      </c>
      <c r="G5" s="21" t="n">
        <v>44428.683915</v>
      </c>
      <c r="H5" s="21" t="n">
        <v>44428.683915</v>
      </c>
      <c r="I5" s="21" t="n">
        <v>40145.758786</v>
      </c>
      <c r="J5" s="21" t="n">
        <v>39985.815524</v>
      </c>
    </row>
    <row r="6" customFormat="false" ht="15" hidden="false" customHeight="false" outlineLevel="0" collapsed="false">
      <c r="B6" s="10" t="s">
        <v>98</v>
      </c>
      <c r="C6" s="21" t="n">
        <v>19054.56</v>
      </c>
      <c r="D6" s="21" t="n">
        <v>18101.832</v>
      </c>
      <c r="E6" s="21" t="n">
        <v>21541.18008</v>
      </c>
      <c r="F6" s="21" t="n">
        <v>22618.239084</v>
      </c>
      <c r="G6" s="21" t="n">
        <v>24880.062992</v>
      </c>
      <c r="H6" s="21" t="n">
        <v>24880.062992</v>
      </c>
      <c r="I6" s="21" t="n">
        <v>22392.056693</v>
      </c>
      <c r="J6" s="21" t="n">
        <v>22392.056693</v>
      </c>
    </row>
    <row r="7" customFormat="false" ht="15" hidden="false" customHeight="false" outlineLevel="0" collapsed="false">
      <c r="B7" s="10" t="s">
        <v>99</v>
      </c>
      <c r="C7" s="21" t="n">
        <v>14971.44</v>
      </c>
      <c r="D7" s="21" t="n">
        <v>14222.868</v>
      </c>
      <c r="E7" s="21" t="n">
        <v>16925.21292</v>
      </c>
      <c r="F7" s="21" t="n">
        <v>17771.473566</v>
      </c>
      <c r="G7" s="21" t="n">
        <v>19548.620923</v>
      </c>
      <c r="H7" s="21" t="n">
        <v>19548.620923</v>
      </c>
      <c r="I7" s="21" t="n">
        <v>17593.75883</v>
      </c>
      <c r="J7" s="21" t="n">
        <v>17593.75883</v>
      </c>
    </row>
    <row r="8" customFormat="false" ht="15" hidden="false" customHeight="false" outlineLevel="0" collapsed="false">
      <c r="B8" s="22" t="s">
        <v>100</v>
      </c>
      <c r="C8" s="21" t="n">
        <v>4423.38</v>
      </c>
      <c r="D8" s="21" t="n">
        <v>3232.47</v>
      </c>
      <c r="E8" s="21" t="n">
        <v>6154.62288</v>
      </c>
      <c r="F8" s="21" t="n">
        <v>5654.559771</v>
      </c>
      <c r="G8" s="21" t="n">
        <v>5331.44207</v>
      </c>
      <c r="H8" s="21" t="n">
        <v>5331.44207</v>
      </c>
      <c r="I8" s="21" t="n">
        <v>3198.865242</v>
      </c>
      <c r="J8" s="21" t="n">
        <v>2799.007086</v>
      </c>
    </row>
    <row r="9" customFormat="false" ht="15" hidden="false" customHeight="false" outlineLevel="0" collapsed="false">
      <c r="B9" s="10" t="s">
        <v>101</v>
      </c>
      <c r="C9" s="21" t="n">
        <v>850.65</v>
      </c>
      <c r="D9" s="21" t="n">
        <v>808.1175</v>
      </c>
      <c r="E9" s="21" t="n">
        <v>961.659825</v>
      </c>
      <c r="F9" s="21" t="n">
        <v>1009.742816</v>
      </c>
      <c r="G9" s="21" t="n">
        <v>1110.717098</v>
      </c>
      <c r="H9" s="21" t="n">
        <v>1110.717098</v>
      </c>
      <c r="I9" s="21" t="n">
        <v>999.645388</v>
      </c>
      <c r="J9" s="21" t="n">
        <v>999.645388</v>
      </c>
    </row>
    <row r="10" customFormat="false" ht="15" hidden="false" customHeight="false" outlineLevel="0" collapsed="false">
      <c r="B10" s="22" t="s">
        <v>102</v>
      </c>
      <c r="C10" s="26" t="n">
        <f aca="false">C8+C9</f>
        <v>5274.03</v>
      </c>
      <c r="D10" s="26" t="n">
        <f aca="false">D8+D9</f>
        <v>4040.5875</v>
      </c>
      <c r="E10" s="26" t="n">
        <f aca="false">E8+E9</f>
        <v>7116.282705</v>
      </c>
      <c r="F10" s="26" t="n">
        <f aca="false">F8+F9</f>
        <v>6664.302587</v>
      </c>
      <c r="G10" s="26" t="n">
        <f aca="false">G8+G9</f>
        <v>6442.159168</v>
      </c>
      <c r="H10" s="26" t="n">
        <f aca="false">H8+H9</f>
        <v>6442.159168</v>
      </c>
      <c r="I10" s="26" t="n">
        <f aca="false">I8+I9</f>
        <v>4198.51063</v>
      </c>
      <c r="J10" s="26" t="n">
        <f aca="false">J8+J9</f>
        <v>3798.652474</v>
      </c>
    </row>
    <row r="11" customFormat="false" ht="15" hidden="false" customHeight="false" outlineLevel="0" collapsed="false">
      <c r="B11" s="10" t="s">
        <v>103</v>
      </c>
      <c r="C11" s="21" t="n">
        <v>342.475</v>
      </c>
      <c r="D11" s="21" t="n">
        <v>352.45</v>
      </c>
      <c r="E11" s="21" t="n">
        <v>362.425</v>
      </c>
      <c r="F11" s="21" t="n">
        <v>372.4</v>
      </c>
      <c r="G11" s="21" t="n">
        <v>382.375</v>
      </c>
      <c r="H11" s="21" t="n">
        <v>392.35</v>
      </c>
      <c r="I11" s="21" t="n">
        <v>402.325</v>
      </c>
      <c r="J11" s="21" t="n">
        <v>412.3</v>
      </c>
    </row>
    <row r="12" customFormat="false" ht="15" hidden="false" customHeight="false" outlineLevel="0" collapsed="false">
      <c r="B12" s="10" t="s">
        <v>104</v>
      </c>
      <c r="C12" s="21" t="n">
        <v>4148.957</v>
      </c>
      <c r="D12" s="21" t="n">
        <v>2944.6694</v>
      </c>
      <c r="E12" s="21" t="n">
        <v>5869.130666</v>
      </c>
      <c r="F12" s="21" t="n">
        <v>5362.939196</v>
      </c>
      <c r="G12" s="21" t="n">
        <v>5037.924438</v>
      </c>
      <c r="H12" s="21" t="n">
        <v>5027.949438</v>
      </c>
      <c r="I12" s="21" t="n">
        <v>2876.511873</v>
      </c>
      <c r="J12" s="21" t="n">
        <v>2466.678718</v>
      </c>
    </row>
    <row r="13" customFormat="false" ht="15" hidden="false" customHeight="false" outlineLevel="0" collapsed="false">
      <c r="B13" s="10" t="s">
        <v>105</v>
      </c>
      <c r="C13" s="21" t="n">
        <v>788.30183</v>
      </c>
      <c r="D13" s="21" t="n">
        <v>559.487186</v>
      </c>
      <c r="E13" s="21" t="n">
        <v>1115.134827</v>
      </c>
      <c r="F13" s="21" t="n">
        <v>1018.958447</v>
      </c>
      <c r="G13" s="21" t="n">
        <v>957.205643</v>
      </c>
      <c r="H13" s="21" t="n">
        <v>955.310393</v>
      </c>
      <c r="I13" s="21" t="n">
        <v>546.537256</v>
      </c>
      <c r="J13" s="21" t="n">
        <v>468.668956</v>
      </c>
    </row>
    <row r="14" customFormat="false" ht="15" hidden="false" customHeight="false" outlineLevel="0" collapsed="false">
      <c r="B14" s="22" t="s">
        <v>106</v>
      </c>
      <c r="C14" s="21" t="n">
        <v>3360.65517</v>
      </c>
      <c r="D14" s="21" t="n">
        <v>2385.182214</v>
      </c>
      <c r="E14" s="21" t="n">
        <v>4753.995839</v>
      </c>
      <c r="F14" s="21" t="n">
        <v>4343.980749</v>
      </c>
      <c r="G14" s="21" t="n">
        <v>4080.718794</v>
      </c>
      <c r="H14" s="21" t="n">
        <v>4072.639044</v>
      </c>
      <c r="I14" s="21" t="n">
        <v>2329.974617</v>
      </c>
      <c r="J14" s="21" t="n">
        <v>1998.009761</v>
      </c>
    </row>
    <row r="15" customFormat="false" ht="15" hidden="false" customHeight="false" outlineLevel="0" collapsed="false">
      <c r="B15" s="10" t="s">
        <v>107</v>
      </c>
      <c r="C15" s="21" t="n">
        <v>4551.56517</v>
      </c>
      <c r="D15" s="21" t="n">
        <v>3516.546714</v>
      </c>
      <c r="E15" s="21" t="n">
        <v>6100.319594</v>
      </c>
      <c r="F15" s="21" t="n">
        <v>5757.620692</v>
      </c>
      <c r="G15" s="21" t="n">
        <v>5635.722732</v>
      </c>
      <c r="H15" s="21" t="n">
        <v>5627.642982</v>
      </c>
      <c r="I15" s="21" t="n">
        <v>3729.47816</v>
      </c>
      <c r="J15" s="21" t="n">
        <v>3397.513305</v>
      </c>
    </row>
    <row r="16" customFormat="false" ht="15" hidden="false" customHeight="false" outlineLevel="0" collapsed="false">
      <c r="B16" s="10" t="s">
        <v>108</v>
      </c>
      <c r="C16" s="21" t="n">
        <v>1020.78</v>
      </c>
      <c r="D16" s="21" t="n">
        <v>969.741</v>
      </c>
      <c r="E16" s="21" t="n">
        <v>1153.99179</v>
      </c>
      <c r="F16" s="21" t="n">
        <v>1211.69138</v>
      </c>
      <c r="G16" s="21" t="n">
        <v>1332.860517</v>
      </c>
      <c r="H16" s="21" t="n">
        <v>1332.860517</v>
      </c>
      <c r="I16" s="21" t="n">
        <v>1199.574466</v>
      </c>
      <c r="J16" s="21" t="n">
        <v>1199.574466</v>
      </c>
    </row>
    <row r="17" customFormat="false" ht="15" hidden="false" customHeight="false" outlineLevel="0" collapsed="false">
      <c r="B17" s="22" t="s">
        <v>109</v>
      </c>
      <c r="C17" s="26" t="n">
        <f aca="false">C15-C16</f>
        <v>3530.78517</v>
      </c>
      <c r="D17" s="26" t="n">
        <f aca="false">D15-D16</f>
        <v>2546.805714</v>
      </c>
      <c r="E17" s="26" t="n">
        <f aca="false">E15-E16</f>
        <v>4946.327804</v>
      </c>
      <c r="F17" s="26" t="n">
        <f aca="false">F15-F16</f>
        <v>4545.929312</v>
      </c>
      <c r="G17" s="26" t="n">
        <f aca="false">G15-G16</f>
        <v>4302.862215</v>
      </c>
      <c r="H17" s="26" t="n">
        <f aca="false">H15-H16</f>
        <v>4294.782465</v>
      </c>
      <c r="I17" s="26" t="n">
        <f aca="false">I15-I16</f>
        <v>2529.903694</v>
      </c>
      <c r="J17" s="26" t="n">
        <f aca="false">J15-J16</f>
        <v>2197.938839</v>
      </c>
    </row>
    <row r="18" customFormat="false" ht="15" hidden="false" customHeight="false" outlineLevel="0" collapsed="false">
      <c r="B18" s="10" t="s">
        <v>110</v>
      </c>
      <c r="C18" s="21" t="n">
        <v>272.208</v>
      </c>
      <c r="D18" s="21" t="n">
        <v>258.5976</v>
      </c>
      <c r="E18" s="21" t="n">
        <v>307.731144</v>
      </c>
      <c r="F18" s="21" t="n">
        <v>323.117701</v>
      </c>
      <c r="G18" s="21" t="n">
        <v>355.429471</v>
      </c>
      <c r="H18" s="21" t="n">
        <v>355.429471</v>
      </c>
      <c r="I18" s="21" t="n">
        <v>319.886524</v>
      </c>
      <c r="J18" s="21" t="n">
        <v>319.886524</v>
      </c>
    </row>
    <row r="19" customFormat="false" ht="15" hidden="false" customHeight="false" outlineLevel="0" collapsed="false">
      <c r="B19" s="10" t="s">
        <v>111</v>
      </c>
      <c r="C19" s="21" t="n">
        <v>1008.196551</v>
      </c>
      <c r="D19" s="21" t="n">
        <v>715.554664</v>
      </c>
      <c r="E19" s="21" t="n">
        <v>1426.198752</v>
      </c>
      <c r="F19" s="21" t="n">
        <v>1303.194225</v>
      </c>
      <c r="G19" s="21" t="n">
        <v>1224.215638</v>
      </c>
      <c r="H19" s="21" t="n">
        <v>1221.791713</v>
      </c>
      <c r="I19" s="21" t="n">
        <v>698.992385</v>
      </c>
      <c r="J19" s="21" t="n">
        <v>599.402928</v>
      </c>
    </row>
    <row r="20" customFormat="false" ht="15" hidden="false" customHeight="false" outlineLevel="0" collapsed="false">
      <c r="B20" s="10" t="s">
        <v>112</v>
      </c>
      <c r="C20" s="21" t="n">
        <v>1008.196551</v>
      </c>
      <c r="D20" s="21" t="n">
        <v>715.554664</v>
      </c>
      <c r="E20" s="21" t="n">
        <v>1426.198752</v>
      </c>
      <c r="F20" s="21" t="n">
        <v>1303.194225</v>
      </c>
      <c r="G20" s="21" t="n">
        <v>1224.215638</v>
      </c>
      <c r="H20" s="21" t="n">
        <v>1221.791713</v>
      </c>
      <c r="I20" s="21" t="n">
        <v>698.992385</v>
      </c>
      <c r="J20" s="21" t="n">
        <v>599.402928</v>
      </c>
    </row>
    <row r="21" customFormat="false" ht="15" hidden="false" customHeight="false" outlineLevel="0" collapsed="false">
      <c r="B21" s="10" t="s">
        <v>46</v>
      </c>
      <c r="C21" s="21" t="n">
        <v>9450</v>
      </c>
      <c r="D21" s="21" t="n">
        <v>9900</v>
      </c>
      <c r="E21" s="21" t="n">
        <v>10350</v>
      </c>
      <c r="F21" s="21" t="n">
        <v>10800</v>
      </c>
      <c r="G21" s="21" t="n">
        <v>11250</v>
      </c>
      <c r="H21" s="21" t="n">
        <v>11700</v>
      </c>
      <c r="I21" s="21" t="n">
        <v>12150</v>
      </c>
      <c r="J21" s="21" t="n">
        <v>12600</v>
      </c>
    </row>
    <row r="22" customFormat="false" ht="15" hidden="false" customHeight="false" outlineLevel="0" collapsed="false">
      <c r="B22" s="10" t="s">
        <v>48</v>
      </c>
      <c r="C22" s="21" t="n">
        <v>2835</v>
      </c>
      <c r="D22" s="21" t="n">
        <v>2970</v>
      </c>
      <c r="E22" s="21" t="n">
        <v>3105</v>
      </c>
      <c r="F22" s="21" t="n">
        <v>3240</v>
      </c>
      <c r="G22" s="21" t="n">
        <v>3375</v>
      </c>
      <c r="H22" s="21" t="n">
        <v>3510</v>
      </c>
      <c r="I22" s="21" t="n">
        <v>3645</v>
      </c>
      <c r="J22" s="21" t="n">
        <v>3780</v>
      </c>
    </row>
    <row r="23" customFormat="false" ht="15" hidden="false" customHeight="false" outlineLevel="0" collapsed="false">
      <c r="B23" s="10" t="s">
        <v>113</v>
      </c>
      <c r="C23" s="21" t="n">
        <v>3402.6</v>
      </c>
      <c r="D23" s="21" t="n">
        <v>3232.47</v>
      </c>
      <c r="E23" s="21" t="n">
        <v>3846.6393</v>
      </c>
      <c r="F23" s="21" t="n">
        <v>4038.971265</v>
      </c>
      <c r="G23" s="21" t="n">
        <v>4442.868392</v>
      </c>
      <c r="H23" s="21" t="n">
        <v>4442.868392</v>
      </c>
      <c r="I23" s="21" t="n">
        <v>3998.581552</v>
      </c>
      <c r="J23" s="21" t="n">
        <v>3998.581552</v>
      </c>
    </row>
    <row r="24" customFormat="false" ht="15" hidden="false" customHeight="false" outlineLevel="0" collapsed="false">
      <c r="B24" s="10" t="s">
        <v>114</v>
      </c>
      <c r="C24" s="21" t="n">
        <v>5716.368</v>
      </c>
      <c r="D24" s="21" t="n">
        <v>5430.5496</v>
      </c>
      <c r="E24" s="21" t="n">
        <v>6462.354024</v>
      </c>
      <c r="F24" s="21" t="n">
        <v>6785.471725</v>
      </c>
      <c r="G24" s="21" t="n">
        <v>7464.018898</v>
      </c>
      <c r="H24" s="21" t="n">
        <v>7464.018898</v>
      </c>
      <c r="I24" s="21" t="n">
        <v>6717.617008</v>
      </c>
      <c r="J24" s="21" t="n">
        <v>6717.617008</v>
      </c>
    </row>
    <row r="25" customFormat="false" ht="15" hidden="false" customHeight="false" outlineLevel="0" collapsed="false">
      <c r="B25" s="10" t="s">
        <v>115</v>
      </c>
      <c r="C25" s="21" t="n">
        <v>3429.8208</v>
      </c>
      <c r="D25" s="21" t="n">
        <v>3258.32976</v>
      </c>
      <c r="E25" s="21" t="n">
        <v>3877.412414</v>
      </c>
      <c r="F25" s="21" t="n">
        <v>4071.283035</v>
      </c>
      <c r="G25" s="21" t="n">
        <v>4478.411339</v>
      </c>
      <c r="H25" s="21" t="n">
        <v>4478.411339</v>
      </c>
      <c r="I25" s="21" t="n">
        <v>4030.570205</v>
      </c>
      <c r="J25" s="21" t="n">
        <v>4030.570205</v>
      </c>
    </row>
    <row r="26" customFormat="false" ht="15" hidden="false" customHeight="false" outlineLevel="0" collapsed="false">
      <c r="B26" s="10" t="s">
        <v>116</v>
      </c>
      <c r="C26" s="21" t="n">
        <v>30623.4</v>
      </c>
      <c r="D26" s="21" t="n">
        <v>29092.23</v>
      </c>
      <c r="E26" s="21" t="n">
        <v>34619.7537</v>
      </c>
      <c r="F26" s="21" t="n">
        <v>36350.741385</v>
      </c>
      <c r="G26" s="21" t="n">
        <v>39985.815524</v>
      </c>
      <c r="H26" s="21" t="n">
        <v>39985.815524</v>
      </c>
      <c r="I26" s="21" t="n">
        <v>35987.233971</v>
      </c>
      <c r="J26" s="21" t="n">
        <v>35987.233971</v>
      </c>
    </row>
    <row r="27" customFormat="false" ht="15" hidden="false" customHeight="false" outlineLevel="0" collapsed="false">
      <c r="B27" s="10" t="s">
        <v>117</v>
      </c>
      <c r="C27" s="21" t="n">
        <v>11909.1</v>
      </c>
      <c r="D27" s="21" t="n">
        <v>11313.645</v>
      </c>
      <c r="E27" s="21" t="n">
        <v>13463.23755</v>
      </c>
      <c r="F27" s="21" t="n">
        <v>14136.399428</v>
      </c>
      <c r="G27" s="21" t="n">
        <v>15550.03937</v>
      </c>
      <c r="H27" s="21" t="n">
        <v>15550.03937</v>
      </c>
      <c r="I27" s="21" t="n">
        <v>13995.035433</v>
      </c>
      <c r="J27" s="21" t="n">
        <v>13995.035433</v>
      </c>
    </row>
    <row r="28" customFormat="false" ht="15" hidden="false" customHeight="false" outlineLevel="0" collapsed="false">
      <c r="B28" s="10" t="s">
        <v>118</v>
      </c>
      <c r="C28" s="21" t="n">
        <v>9785</v>
      </c>
      <c r="D28" s="21" t="n">
        <v>10070</v>
      </c>
      <c r="E28" s="21" t="n">
        <v>10355</v>
      </c>
      <c r="F28" s="21" t="n">
        <v>10640</v>
      </c>
      <c r="G28" s="21" t="n">
        <v>10925</v>
      </c>
      <c r="H28" s="21" t="n">
        <v>11210</v>
      </c>
      <c r="I28" s="21" t="n">
        <v>11495</v>
      </c>
      <c r="J28" s="21" t="n">
        <v>11780</v>
      </c>
    </row>
    <row r="29" customFormat="false" ht="15" hidden="false" customHeight="false" outlineLevel="0" collapsed="false">
      <c r="B29" s="10" t="s">
        <v>51</v>
      </c>
      <c r="C29" s="26" t="n">
        <f aca="false">C28-C21-C22</f>
        <v>-2500</v>
      </c>
      <c r="D29" s="26" t="n">
        <f aca="false">D28-D21-D22</f>
        <v>-2800</v>
      </c>
      <c r="E29" s="26" t="n">
        <f aca="false">E28-E21-E22</f>
        <v>-3100</v>
      </c>
      <c r="F29" s="26" t="n">
        <f aca="false">F28-F21-F22</f>
        <v>-3400</v>
      </c>
      <c r="G29" s="26" t="n">
        <f aca="false">G28-G21-G22</f>
        <v>-3700</v>
      </c>
      <c r="H29" s="26" t="n">
        <f aca="false">H28-H21-H22</f>
        <v>-4000</v>
      </c>
      <c r="I29" s="26" t="n">
        <f aca="false">I28-I21-I22</f>
        <v>-4300</v>
      </c>
      <c r="J29" s="26" t="n">
        <f aca="false">J28-J21-J22</f>
        <v>-4600</v>
      </c>
    </row>
    <row r="30" customFormat="false" ht="15" hidden="false" customHeight="false" outlineLevel="0" collapsed="false">
      <c r="B30" s="10" t="s">
        <v>119</v>
      </c>
      <c r="C30" s="26" t="n">
        <f aca="false">C23+C24-C25</f>
        <v>5689.1472</v>
      </c>
      <c r="D30" s="26" t="n">
        <f aca="false">D23+D24-D25</f>
        <v>5404.68984</v>
      </c>
      <c r="E30" s="26" t="n">
        <f aca="false">E23+E24-E25</f>
        <v>6431.58091</v>
      </c>
      <c r="F30" s="26" t="n">
        <f aca="false">F23+F24-F25</f>
        <v>6753.159955</v>
      </c>
      <c r="G30" s="26" t="n">
        <f aca="false">G23+G24-G25</f>
        <v>7428.475951</v>
      </c>
      <c r="H30" s="26" t="n">
        <f aca="false">H23+H24-H25</f>
        <v>7428.475951</v>
      </c>
      <c r="I30" s="26" t="n">
        <f aca="false">I23+I24-I25</f>
        <v>6685.628355</v>
      </c>
      <c r="J30" s="26" t="n">
        <f aca="false">J23+J24-J25</f>
        <v>6685.628355</v>
      </c>
    </row>
    <row r="32" customFormat="false" ht="15" hidden="false" customHeight="false" outlineLevel="0" collapsed="false">
      <c r="B32" s="9" t="s">
        <v>120</v>
      </c>
    </row>
    <row r="33" customFormat="false" ht="15" hidden="false" customHeight="false" outlineLevel="0" collapsed="false">
      <c r="B33" s="10" t="s">
        <v>60</v>
      </c>
      <c r="D33" s="27" t="n">
        <f aca="false">IFERROR(D5/C5-1,"")</f>
        <v>-0.0499999999999999</v>
      </c>
      <c r="E33" s="27" t="n">
        <f aca="false">IFERROR(E5/D5-1,"")</f>
        <v>0.19</v>
      </c>
      <c r="F33" s="27" t="n">
        <f aca="false">IFERROR(F5/E5-1,"")</f>
        <v>0.05</v>
      </c>
      <c r="G33" s="27" t="n">
        <f aca="false">IFERROR(G5/F5-1,"")</f>
        <v>0.1</v>
      </c>
      <c r="H33" s="27" t="n">
        <f aca="false">IFERROR(H5/G5-1,"")</f>
        <v>0</v>
      </c>
      <c r="I33" s="27" t="n">
        <f aca="false">IFERROR(I5/H5-1,"")</f>
        <v>-0.0963999999908618</v>
      </c>
      <c r="J33" s="27" t="n">
        <f aca="false">IFERROR(J5/I5-1,"")</f>
        <v>-0.00398406374263816</v>
      </c>
    </row>
    <row r="34" customFormat="false" ht="15" hidden="false" customHeight="false" outlineLevel="0" collapsed="false">
      <c r="B34" s="10" t="s">
        <v>121</v>
      </c>
      <c r="C34" s="27" t="n">
        <f aca="false">IFERROR(C7/C5,"")</f>
        <v>0.44</v>
      </c>
      <c r="D34" s="27" t="n">
        <f aca="false">IFERROR(D7/D5,"")</f>
        <v>0.44</v>
      </c>
      <c r="E34" s="27" t="n">
        <f aca="false">IFERROR(E7/E5,"")</f>
        <v>0.44</v>
      </c>
      <c r="F34" s="27" t="n">
        <f aca="false">IFERROR(F7/F5,"")</f>
        <v>0.44</v>
      </c>
      <c r="G34" s="27" t="n">
        <f aca="false">IFERROR(G7/G5,"")</f>
        <v>0.440000000009003</v>
      </c>
      <c r="H34" s="27" t="n">
        <f aca="false">IFERROR(H7/H5,"")</f>
        <v>0.440000000009003</v>
      </c>
      <c r="I34" s="27" t="n">
        <f aca="false">IFERROR(I7/I5,"")</f>
        <v>0.43824701193929</v>
      </c>
      <c r="J34" s="27" t="n">
        <f aca="false">IFERROR(J7/J5,"")</f>
        <v>0.439999999985995</v>
      </c>
    </row>
    <row r="35" customFormat="false" ht="15" hidden="false" customHeight="false" outlineLevel="0" collapsed="false">
      <c r="B35" s="10" t="s">
        <v>62</v>
      </c>
      <c r="C35" s="27" t="n">
        <f aca="false">IFERROR(C8/C5,"")</f>
        <v>0.13</v>
      </c>
      <c r="D35" s="27" t="n">
        <f aca="false">IFERROR(D8/D5,"")</f>
        <v>0.1</v>
      </c>
      <c r="E35" s="27" t="n">
        <f aca="false">IFERROR(E8/E5,"")</f>
        <v>0.16</v>
      </c>
      <c r="F35" s="27" t="n">
        <f aca="false">IFERROR(F8/F5,"")</f>
        <v>0.14</v>
      </c>
      <c r="G35" s="27" t="n">
        <f aca="false">IFERROR(G8/G5,"")</f>
        <v>0.120000000004502</v>
      </c>
      <c r="H35" s="27" t="n">
        <f aca="false">IFERROR(H8/H5,"")</f>
        <v>0.120000000004502</v>
      </c>
      <c r="I35" s="27" t="n">
        <f aca="false">IFERROR(I8/I5,"")</f>
        <v>0.0796812749025817</v>
      </c>
      <c r="J35" s="27" t="n">
        <f aca="false">IFERROR(J8/J5,"")</f>
        <v>0.069999999982994</v>
      </c>
    </row>
    <row r="36" customFormat="false" ht="15" hidden="false" customHeight="false" outlineLevel="0" collapsed="false">
      <c r="B36" s="10" t="s">
        <v>122</v>
      </c>
      <c r="C36" s="27" t="n">
        <f aca="false">IFERROR(C10/C5,"")</f>
        <v>0.155</v>
      </c>
      <c r="D36" s="27" t="n">
        <f aca="false">IFERROR(D10/D5,"")</f>
        <v>0.125</v>
      </c>
      <c r="E36" s="27" t="n">
        <f aca="false">IFERROR(E10/E5,"")</f>
        <v>0.185</v>
      </c>
      <c r="F36" s="27" t="n">
        <f aca="false">IFERROR(F10/F5,"")</f>
        <v>0.16499999999381</v>
      </c>
      <c r="G36" s="27" t="n">
        <f aca="false">IFERROR(G10/G5,"")</f>
        <v>0.145000000007315</v>
      </c>
      <c r="H36" s="27" t="n">
        <f aca="false">IFERROR(H10/H5,"")</f>
        <v>0.145000000007315</v>
      </c>
      <c r="I36" s="27" t="n">
        <f aca="false">IFERROR(I10/I5,"")</f>
        <v>0.104581673306525</v>
      </c>
      <c r="J36" s="27" t="n">
        <f aca="false">IFERROR(J10/J5,"")</f>
        <v>0.0949999999804931</v>
      </c>
    </row>
    <row r="37" customFormat="false" ht="15" hidden="false" customHeight="false" outlineLevel="0" collapsed="false">
      <c r="B37" s="10" t="s">
        <v>123</v>
      </c>
      <c r="C37" s="27" t="n">
        <f aca="false">IFERROR(C14/C5,"")</f>
        <v>0.0987672712043731</v>
      </c>
      <c r="D37" s="27" t="n">
        <f aca="false">IFERROR(D14/D5,"")</f>
        <v>0.0737882242990654</v>
      </c>
      <c r="E37" s="27" t="n">
        <f aca="false">IFERROR(E14/E5,"")</f>
        <v>0.123588292746866</v>
      </c>
      <c r="F37" s="27" t="n">
        <f aca="false">IFERROR(F14/F5,"")</f>
        <v>0.107551662638531</v>
      </c>
      <c r="G37" s="27" t="n">
        <f aca="false">IFERROR(G14/G5,"")</f>
        <v>0.0918487435236016</v>
      </c>
      <c r="H37" s="27" t="n">
        <f aca="false">IFERROR(H14/H5,"")</f>
        <v>0.0916668846592819</v>
      </c>
      <c r="I37" s="27" t="n">
        <f aca="false">IFERROR(I14/I5,"")</f>
        <v>0.058037877162071</v>
      </c>
      <c r="J37" s="27" t="n">
        <f aca="false">IFERROR(J14/J5,"")</f>
        <v>0.0499679632593906</v>
      </c>
    </row>
    <row r="38" customFormat="false" ht="15" hidden="false" customHeight="false" outlineLevel="0" collapsed="false">
      <c r="B38" s="10" t="s">
        <v>124</v>
      </c>
      <c r="C38" s="27" t="n">
        <f aca="false">IFERROR(C17/C5,"")</f>
        <v>0.103767271204373</v>
      </c>
      <c r="D38" s="27" t="n">
        <f aca="false">IFERROR(D17/D5,"")</f>
        <v>0.0787882242990654</v>
      </c>
      <c r="E38" s="27" t="n">
        <f aca="false">IFERROR(E17/E5,"")</f>
        <v>0.128588292746866</v>
      </c>
      <c r="F38" s="27" t="n">
        <f aca="false">IFERROR(F17/F5,"")</f>
        <v>0.112551662632341</v>
      </c>
      <c r="G38" s="27" t="n">
        <f aca="false">IFERROR(G17/G5,"")</f>
        <v>0.0968487435556755</v>
      </c>
      <c r="H38" s="27" t="n">
        <f aca="false">IFERROR(H17/H5,"")</f>
        <v>0.0966668846913558</v>
      </c>
      <c r="I38" s="27" t="n">
        <f aca="false">IFERROR(I17/I5,"")</f>
        <v>0.0630179568279141</v>
      </c>
      <c r="J38" s="27" t="n">
        <f aca="false">IFERROR(J17/J5,"")</f>
        <v>0.0549679632688939</v>
      </c>
    </row>
    <row r="39" customFormat="false" ht="15" hidden="false" customHeight="false" outlineLevel="0" collapsed="false">
      <c r="B39" s="10" t="s">
        <v>125</v>
      </c>
      <c r="C39" s="27" t="n">
        <f aca="false">IFERROR(C13/C12,"")</f>
        <v>0.19</v>
      </c>
      <c r="D39" s="27" t="n">
        <f aca="false">IFERROR(D13/D12,"")</f>
        <v>0.19</v>
      </c>
      <c r="E39" s="27" t="n">
        <f aca="false">IFERROR(E13/E12,"")</f>
        <v>0.190000000078376</v>
      </c>
      <c r="F39" s="27" t="n">
        <f aca="false">IFERROR(F13/F12,"")</f>
        <v>0.189999999955248</v>
      </c>
      <c r="G39" s="27" t="n">
        <f aca="false">IFERROR(G13/G12,"")</f>
        <v>0.189999999956331</v>
      </c>
      <c r="H39" s="27" t="n">
        <f aca="false">IFERROR(H13/H12,"")</f>
        <v>0.189999999956245</v>
      </c>
      <c r="I39" s="27" t="n">
        <f aca="false">IFERROR(I13/I12,"")</f>
        <v>0.190000000045194</v>
      </c>
      <c r="J39" s="27" t="n">
        <f aca="false">IFERROR(J13/J12,"")</f>
        <v>0.189999999829731</v>
      </c>
    </row>
    <row r="40" customFormat="false" ht="15" hidden="false" customHeight="false" outlineLevel="0" collapsed="false">
      <c r="B40" s="10" t="s">
        <v>66</v>
      </c>
      <c r="C40" s="27" t="n">
        <f aca="false">IFERROR(C9/C5,"")</f>
        <v>0.025</v>
      </c>
      <c r="D40" s="27" t="n">
        <f aca="false">IFERROR(D9/D5,"")</f>
        <v>0.025</v>
      </c>
      <c r="E40" s="27" t="n">
        <f aca="false">IFERROR(E9/E5,"")</f>
        <v>0.025</v>
      </c>
      <c r="F40" s="27" t="n">
        <f aca="false">IFERROR(F9/F5,"")</f>
        <v>0.0249999999938103</v>
      </c>
      <c r="G40" s="27" t="n">
        <f aca="false">IFERROR(G9/G5,"")</f>
        <v>0.0250000000028135</v>
      </c>
      <c r="H40" s="27" t="n">
        <f aca="false">IFERROR(H9/H5,"")</f>
        <v>0.0250000000028135</v>
      </c>
      <c r="I40" s="27" t="n">
        <f aca="false">IFERROR(I9/I5,"")</f>
        <v>0.0249003984039431</v>
      </c>
      <c r="J40" s="27" t="n">
        <f aca="false">IFERROR(J9/J5,"")</f>
        <v>0.0249999999974991</v>
      </c>
    </row>
    <row r="41" customFormat="false" ht="15" hidden="false" customHeight="false" outlineLevel="0" collapsed="false">
      <c r="B41" s="10" t="s">
        <v>68</v>
      </c>
      <c r="C41" s="27" t="n">
        <f aca="false">IFERROR(C16/C5,"")</f>
        <v>0.03</v>
      </c>
      <c r="D41" s="27" t="n">
        <f aca="false">IFERROR(D16/D5,"")</f>
        <v>0.03</v>
      </c>
      <c r="E41" s="27" t="n">
        <f aca="false">IFERROR(E16/E5,"")</f>
        <v>0.03</v>
      </c>
      <c r="F41" s="27" t="n">
        <f aca="false">IFERROR(F16/F5,"")</f>
        <v>0.0300000000123794</v>
      </c>
      <c r="G41" s="27" t="n">
        <f aca="false">IFERROR(G16/G5,"")</f>
        <v>0.0299999999898714</v>
      </c>
      <c r="H41" s="27" t="n">
        <f aca="false">IFERROR(H16/H5,"")</f>
        <v>0.0299999999898714</v>
      </c>
      <c r="I41" s="27" t="n">
        <f aca="false">IFERROR(I16/I5,"")</f>
        <v>0.0298804780946954</v>
      </c>
      <c r="J41" s="27" t="n">
        <f aca="false">IFERROR(J16/J5,"")</f>
        <v>0.0300000000070025</v>
      </c>
    </row>
    <row r="42" customFormat="false" ht="15" hidden="false" customHeight="false" outlineLevel="0" collapsed="false">
      <c r="B42" s="10" t="s">
        <v>70</v>
      </c>
      <c r="C42" s="27" t="n">
        <f aca="false">IFERROR(C30/C5,"")</f>
        <v>0.1672</v>
      </c>
      <c r="D42" s="27" t="n">
        <f aca="false">IFERROR(D30/D5,"")</f>
        <v>0.1672</v>
      </c>
      <c r="E42" s="27" t="n">
        <f aca="false">IFERROR(E30/E5,"")</f>
        <v>0.167200000010399</v>
      </c>
      <c r="F42" s="27" t="n">
        <f aca="false">IFERROR(F30/F5,"")</f>
        <v>0.167199999998019</v>
      </c>
      <c r="G42" s="27" t="n">
        <f aca="false">IFERROR(G30/G5,"")</f>
        <v>0.167200000009273</v>
      </c>
      <c r="H42" s="27" t="n">
        <f aca="false">IFERROR(H30/H5,"")</f>
        <v>0.167200000009273</v>
      </c>
      <c r="I42" s="27" t="n">
        <f aca="false">IFERROR(I30/I5,"")</f>
        <v>0.166533864526967</v>
      </c>
      <c r="J42" s="27" t="n">
        <f aca="false">IFERROR(J30/J5,"")</f>
        <v>0.167199999984675</v>
      </c>
    </row>
    <row r="43" customFormat="false" ht="15" hidden="false" customHeight="false" outlineLevel="0" collapsed="false">
      <c r="B43" s="10" t="s">
        <v>126</v>
      </c>
      <c r="C43" s="28" t="n">
        <f aca="false">IFERROR(C29/C10,"")</f>
        <v>-0.474020815202037</v>
      </c>
      <c r="D43" s="28" t="n">
        <f aca="false">IFERROR(D29/D10,"")</f>
        <v>-0.692968534897462</v>
      </c>
      <c r="E43" s="28" t="n">
        <f aca="false">IFERROR(E29/E10,"")</f>
        <v>-0.435620692503109</v>
      </c>
      <c r="F43" s="28" t="n">
        <f aca="false">IFERROR(F29/F10,"")</f>
        <v>-0.510180916249564</v>
      </c>
      <c r="G43" s="28" t="n">
        <f aca="false">IFERROR(G29/G10,"")</f>
        <v>-0.574341599378502</v>
      </c>
      <c r="H43" s="28" t="n">
        <f aca="false">IFERROR(H29/H10,"")</f>
        <v>-0.620909837165948</v>
      </c>
      <c r="I43" s="28" t="n">
        <f aca="false">IFERROR(I29/I10,"")</f>
        <v>-1.02417270764419</v>
      </c>
      <c r="J43" s="28" t="n">
        <f aca="false">IFERROR(J29/J10,"")</f>
        <v>-1.21095573535217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J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1" min="3" style="0" width="13"/>
  </cols>
  <sheetData>
    <row r="1" customFormat="false" ht="17.35" hidden="false" customHeight="false" outlineLevel="0" collapsed="false">
      <c r="B1" s="13" t="s">
        <v>127</v>
      </c>
    </row>
    <row r="2" customFormat="false" ht="15" hidden="false" customHeight="false" outlineLevel="0" collapsed="false">
      <c r="B2" s="3" t="s">
        <v>128</v>
      </c>
    </row>
    <row r="4" customFormat="false" ht="23.85" hidden="false" customHeight="false" outlineLevel="0" collapsed="false">
      <c r="B4" s="24" t="s">
        <v>129</v>
      </c>
      <c r="C4" s="25" t="s">
        <v>130</v>
      </c>
      <c r="D4" s="25" t="s">
        <v>131</v>
      </c>
      <c r="E4" s="25" t="s">
        <v>132</v>
      </c>
      <c r="F4" s="25" t="s">
        <v>7</v>
      </c>
      <c r="G4" s="25" t="s">
        <v>133</v>
      </c>
      <c r="H4" s="25" t="s">
        <v>134</v>
      </c>
      <c r="I4" s="25" t="s">
        <v>135</v>
      </c>
      <c r="J4" s="25" t="s">
        <v>136</v>
      </c>
    </row>
    <row r="5" customFormat="false" ht="15" hidden="false" customHeight="false" outlineLevel="0" collapsed="false">
      <c r="B5" s="22" t="s">
        <v>137</v>
      </c>
      <c r="C5" s="29" t="n">
        <v>0.843196955057033</v>
      </c>
      <c r="D5" s="29" t="n">
        <v>0.230217371988464</v>
      </c>
      <c r="E5" s="30" t="n">
        <f aca="false">IF(C5="","",0.67*C5+0.33)</f>
        <v>0.894941959888212</v>
      </c>
      <c r="F5" s="21" t="n">
        <v>60649.827</v>
      </c>
      <c r="G5" s="21" t="n">
        <v>11780</v>
      </c>
      <c r="H5" s="27" t="n">
        <f aca="false">IFERROR(G5/F5,0)</f>
        <v>0.194229737868832</v>
      </c>
      <c r="I5" s="31" t="n">
        <f aca="false">IF(E5="","",E5/(1+(1-Assumptions!$C$9)*H5))</f>
        <v>0.781150034989092</v>
      </c>
      <c r="J5" s="10" t="s">
        <v>138</v>
      </c>
    </row>
    <row r="6" customFormat="false" ht="15" hidden="false" customHeight="false" outlineLevel="0" collapsed="false">
      <c r="B6" s="10" t="s">
        <v>139</v>
      </c>
      <c r="C6" s="29" t="n">
        <v>1.17640461331867</v>
      </c>
      <c r="D6" s="29" t="n">
        <v>0.454189984916483</v>
      </c>
      <c r="E6" s="30" t="n">
        <f aca="false">IF(C6="","",0.67*C6+0.33)</f>
        <v>1.11819109092351</v>
      </c>
      <c r="F6" s="21" t="n">
        <v>55009.1</v>
      </c>
      <c r="G6" s="21" t="n">
        <v>0</v>
      </c>
      <c r="H6" s="27" t="n">
        <f aca="false">IFERROR(G6/F6,0)</f>
        <v>0</v>
      </c>
      <c r="I6" s="31" t="n">
        <f aca="false">IF(E6="","",E6/(1+(1-Assumptions!$C$9)*H6))</f>
        <v>1.11819109092351</v>
      </c>
      <c r="J6" s="10" t="s">
        <v>140</v>
      </c>
    </row>
    <row r="7" customFormat="false" ht="15" hidden="false" customHeight="false" outlineLevel="0" collapsed="false">
      <c r="B7" s="10" t="s">
        <v>141</v>
      </c>
      <c r="C7" s="29" t="n">
        <v>1.15622484574413</v>
      </c>
      <c r="D7" s="29" t="n">
        <v>0.410216624886917</v>
      </c>
      <c r="E7" s="30" t="n">
        <f aca="false">IF(C7="","",0.67*C7+0.33)</f>
        <v>1.10467064664856</v>
      </c>
      <c r="F7" s="21" t="n">
        <v>22948.296</v>
      </c>
      <c r="G7" s="21" t="n">
        <v>0</v>
      </c>
      <c r="H7" s="27" t="n">
        <f aca="false">IFERROR(G7/F7,0)</f>
        <v>0</v>
      </c>
      <c r="I7" s="31" t="n">
        <f aca="false">IF(E7="","",E7/(1+(1-Assumptions!$C$9)*H7))</f>
        <v>1.10467064664856</v>
      </c>
      <c r="J7" s="10" t="s">
        <v>140</v>
      </c>
    </row>
    <row r="8" customFormat="false" ht="15" hidden="false" customHeight="false" outlineLevel="0" collapsed="false">
      <c r="B8" s="10" t="s">
        <v>142</v>
      </c>
      <c r="C8" s="29" t="n">
        <v>1.08753538207496</v>
      </c>
      <c r="D8" s="29" t="n">
        <v>0.425351842924646</v>
      </c>
      <c r="E8" s="30" t="n">
        <f aca="false">IF(C8="","",0.67*C8+0.33)</f>
        <v>1.05864870599022</v>
      </c>
      <c r="F8" s="21" t="n">
        <v>6069.6264</v>
      </c>
      <c r="G8" s="21" t="n">
        <v>0</v>
      </c>
      <c r="H8" s="27" t="n">
        <f aca="false">IFERROR(G8/F8,0)</f>
        <v>0</v>
      </c>
      <c r="I8" s="31" t="n">
        <f aca="false">IF(E8="","",E8/(1+(1-Assumptions!$C$9)*H8))</f>
        <v>1.05864870599022</v>
      </c>
      <c r="J8" s="10" t="s">
        <v>140</v>
      </c>
    </row>
    <row r="9" customFormat="false" ht="15" hidden="false" customHeight="false" outlineLevel="0" collapsed="false">
      <c r="B9" s="10" t="s">
        <v>143</v>
      </c>
      <c r="C9" s="29" t="n">
        <v>1.3916253280956</v>
      </c>
      <c r="D9" s="29" t="n">
        <v>0.515739016019371</v>
      </c>
      <c r="E9" s="30" t="n">
        <f aca="false">IF(C9="","",0.67*C9+0.33)</f>
        <v>1.26238896982405</v>
      </c>
      <c r="F9" s="21" t="n">
        <v>2497.616</v>
      </c>
      <c r="G9" s="21" t="n">
        <v>1240</v>
      </c>
      <c r="H9" s="27" t="n">
        <f aca="false">IFERROR(G9/F9,0)</f>
        <v>0.49647343706959</v>
      </c>
      <c r="I9" s="31" t="n">
        <f aca="false">IF(E9="","",E9/(1+(1-Assumptions!$C$9)*H9))</f>
        <v>0.91987051328272</v>
      </c>
      <c r="J9" s="10" t="s">
        <v>140</v>
      </c>
    </row>
    <row r="10" customFormat="false" ht="15" hidden="false" customHeight="false" outlineLevel="0" collapsed="false">
      <c r="B10" s="10" t="s">
        <v>144</v>
      </c>
      <c r="C10" s="29" t="n">
        <v>1.49964799563445</v>
      </c>
      <c r="D10" s="29" t="n">
        <v>0.580196450796566</v>
      </c>
      <c r="E10" s="30" t="n">
        <f aca="false">IF(C10="","",0.67*C10+0.33)</f>
        <v>1.33476415707508</v>
      </c>
      <c r="F10" s="21" t="n">
        <v>27596.688</v>
      </c>
      <c r="G10" s="21" t="n">
        <v>2480</v>
      </c>
      <c r="H10" s="27" t="n">
        <f aca="false">IFERROR(G10/F10,0)</f>
        <v>0.0898658563665321</v>
      </c>
      <c r="I10" s="31" t="n">
        <f aca="false">IF(E10="","",E10/(1+(1-Assumptions!$C$9)*H10))</f>
        <v>1.25048240305849</v>
      </c>
      <c r="J10" s="10" t="s">
        <v>140</v>
      </c>
    </row>
    <row r="12" customFormat="false" ht="15" hidden="false" customHeight="false" outlineLevel="0" collapsed="false">
      <c r="B12" s="10" t="s">
        <v>145</v>
      </c>
      <c r="C12" s="30" t="n">
        <f aca="false">MEDIAN(I6:I10)</f>
        <v>1.10467064664856</v>
      </c>
    </row>
    <row r="13" customFormat="false" ht="15" hidden="false" customHeight="false" outlineLevel="0" collapsed="false">
      <c r="B13" s="10" t="s">
        <v>146</v>
      </c>
      <c r="C13" s="32" t="n">
        <f aca="false">Assumptions!$C$21/Assumptions!$C$23</f>
        <v>0.194229737868832</v>
      </c>
    </row>
    <row r="14" customFormat="false" ht="15" hidden="false" customHeight="false" outlineLevel="0" collapsed="false">
      <c r="B14" s="10" t="s">
        <v>147</v>
      </c>
      <c r="C14" s="31" t="n">
        <f aca="false">C12*(1+(1-Assumptions!$C$9)*C13)</f>
        <v>1.26559056424602</v>
      </c>
      <c r="D14" s="3" t="s">
        <v>148</v>
      </c>
    </row>
    <row r="15" customFormat="false" ht="15" hidden="false" customHeight="false" outlineLevel="0" collapsed="false">
      <c r="B15" s="10" t="s">
        <v>149</v>
      </c>
      <c r="C15" s="32" t="n">
        <f aca="false">Assumptions!$C$7</f>
        <v>0.042</v>
      </c>
    </row>
    <row r="16" customFormat="false" ht="15" hidden="false" customHeight="false" outlineLevel="0" collapsed="false">
      <c r="B16" s="10" t="s">
        <v>27</v>
      </c>
      <c r="C16" s="32" t="n">
        <f aca="false">Assumptions!$C$8</f>
        <v>0.045</v>
      </c>
    </row>
    <row r="17" customFormat="false" ht="15" hidden="false" customHeight="false" outlineLevel="0" collapsed="false">
      <c r="B17" s="22" t="s">
        <v>150</v>
      </c>
      <c r="C17" s="33" t="n">
        <f aca="false">C15+C14*C16</f>
        <v>0.098951575391071</v>
      </c>
    </row>
    <row r="18" customFormat="false" ht="15" hidden="false" customHeight="false" outlineLevel="0" collapsed="false">
      <c r="B18" s="10" t="s">
        <v>151</v>
      </c>
      <c r="C18" s="32" t="n">
        <f aca="false">Assumptions!$C$7+Assumptions!$C$10</f>
        <v>0.049</v>
      </c>
    </row>
    <row r="19" customFormat="false" ht="15" hidden="false" customHeight="false" outlineLevel="0" collapsed="false">
      <c r="B19" s="10" t="s">
        <v>152</v>
      </c>
      <c r="C19" s="32" t="n">
        <f aca="false">C18*(1-Assumptions!$C$9)</f>
        <v>0.03675</v>
      </c>
    </row>
    <row r="20" customFormat="false" ht="15" hidden="false" customHeight="false" outlineLevel="0" collapsed="false">
      <c r="B20" s="10" t="s">
        <v>153</v>
      </c>
      <c r="C20" s="32" t="n">
        <f aca="false">Assumptions!$C$23/(Assumptions!$C$23+Assumptions!$C$21)</f>
        <v>0.837359821389605</v>
      </c>
    </row>
    <row r="21" customFormat="false" ht="15" hidden="false" customHeight="false" outlineLevel="0" collapsed="false">
      <c r="B21" s="10" t="s">
        <v>154</v>
      </c>
      <c r="C21" s="27" t="n">
        <f aca="false">1-C20</f>
        <v>0.162640178610395</v>
      </c>
    </row>
    <row r="22" customFormat="false" ht="15" hidden="false" customHeight="false" outlineLevel="0" collapsed="false">
      <c r="B22" s="10" t="s">
        <v>155</v>
      </c>
      <c r="C22" s="27" t="n">
        <f aca="false">C20*C17+C21*C19</f>
        <v>0.0888351000596193</v>
      </c>
    </row>
    <row r="23" customFormat="false" ht="15" hidden="false" customHeight="false" outlineLevel="0" collapsed="false">
      <c r="B23" s="10" t="s">
        <v>156</v>
      </c>
      <c r="C23" s="32" t="n">
        <f aca="false">MAX(C22,Assumptions!$C$11+Assumptions!$C$13)</f>
        <v>0.0888351000596193</v>
      </c>
    </row>
    <row r="24" customFormat="false" ht="15" hidden="false" customHeight="false" outlineLevel="0" collapsed="false">
      <c r="B24" s="22" t="s">
        <v>157</v>
      </c>
      <c r="C24" s="34" t="n">
        <f aca="false">C23+INDEX(Assumptions!$C$38:$E$38,Assumptions!$C$4)</f>
        <v>0.0888351000596193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I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8" min="4" style="0" width="13"/>
    <col collapsed="false" customWidth="true" hidden="false" outlineLevel="0" max="9" min="9" style="0" width="50"/>
  </cols>
  <sheetData>
    <row r="1" customFormat="false" ht="17.35" hidden="false" customHeight="false" outlineLevel="0" collapsed="false">
      <c r="B1" s="13" t="s">
        <v>158</v>
      </c>
    </row>
    <row r="2" customFormat="false" ht="15" hidden="false" customHeight="false" outlineLevel="0" collapsed="false">
      <c r="B2" s="3" t="s">
        <v>159</v>
      </c>
    </row>
    <row r="4" customFormat="false" ht="15" hidden="false" customHeight="false" outlineLevel="0" collapsed="false">
      <c r="B4" s="24"/>
      <c r="C4" s="25" t="s">
        <v>160</v>
      </c>
      <c r="D4" s="25" t="s">
        <v>55</v>
      </c>
      <c r="E4" s="25" t="s">
        <v>56</v>
      </c>
      <c r="F4" s="25" t="s">
        <v>57</v>
      </c>
      <c r="G4" s="25" t="s">
        <v>58</v>
      </c>
      <c r="H4" s="25" t="s">
        <v>59</v>
      </c>
    </row>
    <row r="5" customFormat="false" ht="15" hidden="false" customHeight="false" outlineLevel="0" collapsed="false">
      <c r="B5" s="10" t="s">
        <v>161</v>
      </c>
      <c r="D5" s="18" t="n">
        <v>1</v>
      </c>
      <c r="E5" s="18" t="n">
        <v>2</v>
      </c>
      <c r="F5" s="18" t="n">
        <v>3</v>
      </c>
      <c r="G5" s="18" t="n">
        <v>4</v>
      </c>
      <c r="H5" s="18" t="n">
        <v>5</v>
      </c>
    </row>
    <row r="6" customFormat="false" ht="15" hidden="false" customHeight="false" outlineLevel="0" collapsed="false">
      <c r="B6" s="22" t="s">
        <v>97</v>
      </c>
      <c r="C6" s="23" t="n">
        <f aca="false">Historicals!$J$5</f>
        <v>39985.815524</v>
      </c>
      <c r="D6" s="35" t="n">
        <f aca="false">C6*(1+D7)</f>
        <v>39216.1949547665</v>
      </c>
      <c r="E6" s="35" t="n">
        <f aca="false">D6*(1+E7)</f>
        <v>39034.0812982418</v>
      </c>
      <c r="F6" s="35" t="n">
        <f aca="false">E6*(1+F7)</f>
        <v>39422.8476152445</v>
      </c>
      <c r="G6" s="35" t="n">
        <f aca="false">F6*(1+G7)</f>
        <v>40391.1975306926</v>
      </c>
      <c r="H6" s="35" t="n">
        <f aca="false">G6*(1+H7)</f>
        <v>41973.1861012354</v>
      </c>
    </row>
    <row r="7" customFormat="false" ht="15" hidden="false" customHeight="false" outlineLevel="0" collapsed="false">
      <c r="B7" s="10" t="s">
        <v>60</v>
      </c>
      <c r="D7" s="32" t="n">
        <f aca="false">Assumptions!C27+INDEX(Assumptions!$C$36:$E$36,Assumptions!$C$4)</f>
        <v>-0.0192473395664921</v>
      </c>
      <c r="E7" s="32" t="n">
        <f aca="false">Assumptions!D27+INDEX(Assumptions!$C$36:$E$36,Assumptions!$C$4)</f>
        <v>-0.00464383800454609</v>
      </c>
      <c r="F7" s="32" t="n">
        <f aca="false">Assumptions!E27+INDEX(Assumptions!$C$36:$E$36,Assumptions!$C$4)</f>
        <v>0.00995966355739988</v>
      </c>
      <c r="G7" s="32" t="n">
        <f aca="false">Assumptions!F27+INDEX(Assumptions!$C$36:$E$36,Assumptions!$C$4)</f>
        <v>0.0245631651193458</v>
      </c>
      <c r="H7" s="32" t="n">
        <f aca="false">Assumptions!G27+INDEX(Assumptions!$C$36:$E$36,Assumptions!$C$4)</f>
        <v>0.0391666666812918</v>
      </c>
    </row>
    <row r="8" customFormat="false" ht="15" hidden="false" customHeight="false" outlineLevel="0" collapsed="false">
      <c r="B8" s="10" t="s">
        <v>62</v>
      </c>
      <c r="D8" s="32" t="n">
        <f aca="false">Assumptions!C28+INDEX(Assumptions!$C$37:$E$37,Assumptions!$C$4)</f>
        <v>0.0865936254842868</v>
      </c>
      <c r="E8" s="32" t="n">
        <f aca="false">Assumptions!D28+INDEX(Assumptions!$C$37:$E$37,Assumptions!$C$4)</f>
        <v>0.10318725098558</v>
      </c>
      <c r="F8" s="32" t="n">
        <f aca="false">Assumptions!E28+INDEX(Assumptions!$C$37:$E$37,Assumptions!$C$4)</f>
        <v>0.119780876486872</v>
      </c>
      <c r="G8" s="32" t="n">
        <f aca="false">Assumptions!F28+INDEX(Assumptions!$C$37:$E$37,Assumptions!$C$4)</f>
        <v>0.136374501988165</v>
      </c>
      <c r="H8" s="32" t="n">
        <f aca="false">Assumptions!G28+INDEX(Assumptions!$C$37:$E$37,Assumptions!$C$4)</f>
        <v>0.152968127489458</v>
      </c>
    </row>
    <row r="9" customFormat="false" ht="15" hidden="false" customHeight="false" outlineLevel="0" collapsed="false">
      <c r="B9" s="10" t="s">
        <v>162</v>
      </c>
      <c r="D9" s="26" t="n">
        <f aca="false">D6*D8</f>
        <v>3395.87249883182</v>
      </c>
      <c r="E9" s="26" t="n">
        <f aca="false">E6*E8</f>
        <v>4027.81954391319</v>
      </c>
      <c r="F9" s="26" t="n">
        <f aca="false">F6*F8</f>
        <v>4722.10324096239</v>
      </c>
      <c r="G9" s="26" t="n">
        <f aca="false">G6*G8</f>
        <v>5508.3294479538</v>
      </c>
      <c r="H9" s="26" t="n">
        <f aca="false">H6*H8</f>
        <v>6420.55968267252</v>
      </c>
    </row>
    <row r="10" customFormat="false" ht="15" hidden="false" customHeight="false" outlineLevel="0" collapsed="false">
      <c r="B10" s="10" t="s">
        <v>163</v>
      </c>
      <c r="D10" s="36" t="n">
        <f aca="false">D9*Assumptions!$C$29</f>
        <v>645.215774586937</v>
      </c>
      <c r="E10" s="36" t="n">
        <f aca="false">E9*Assumptions!$C$29</f>
        <v>765.285713116833</v>
      </c>
      <c r="F10" s="36" t="n">
        <f aca="false">F9*Assumptions!$C$29</f>
        <v>897.199615517108</v>
      </c>
      <c r="G10" s="36" t="n">
        <f aca="false">G9*Assumptions!$C$29</f>
        <v>1046.58259480123</v>
      </c>
      <c r="H10" s="36" t="n">
        <f aca="false">H9*Assumptions!$C$29</f>
        <v>1219.90633934645</v>
      </c>
    </row>
    <row r="11" customFormat="false" ht="15" hidden="false" customHeight="false" outlineLevel="0" collapsed="false">
      <c r="B11" s="10" t="s">
        <v>164</v>
      </c>
      <c r="D11" s="26" t="n">
        <f aca="false">D9-D10</f>
        <v>2750.65672424489</v>
      </c>
      <c r="E11" s="26" t="n">
        <f aca="false">E9-E10</f>
        <v>3262.53383079636</v>
      </c>
      <c r="F11" s="26" t="n">
        <f aca="false">F9-F10</f>
        <v>3824.90362544528</v>
      </c>
      <c r="G11" s="26" t="n">
        <f aca="false">G9-G10</f>
        <v>4461.74685315257</v>
      </c>
      <c r="H11" s="26" t="n">
        <f aca="false">H9-H10</f>
        <v>5200.65334332607</v>
      </c>
    </row>
    <row r="12" customFormat="false" ht="15" hidden="false" customHeight="false" outlineLevel="0" collapsed="false">
      <c r="B12" s="10" t="s">
        <v>165</v>
      </c>
      <c r="D12" s="36" t="n">
        <f aca="false">D6*Assumptions!$C$30</f>
        <v>979.102875336991</v>
      </c>
      <c r="E12" s="36" t="n">
        <f aca="false">E6*Assumptions!$C$30</f>
        <v>974.556080194141</v>
      </c>
      <c r="F12" s="36" t="n">
        <f aca="false">F6*Assumptions!$C$30</f>
        <v>984.262330870693</v>
      </c>
      <c r="G12" s="36" t="n">
        <f aca="false">G6*Assumptions!$C$30</f>
        <v>1008.43892902462</v>
      </c>
      <c r="H12" s="36" t="n">
        <f aca="false">H6*Assumptions!$C$30</f>
        <v>1047.93612042617</v>
      </c>
    </row>
    <row r="13" customFormat="false" ht="15" hidden="false" customHeight="false" outlineLevel="0" collapsed="false">
      <c r="B13" s="10" t="s">
        <v>166</v>
      </c>
      <c r="D13" s="36" t="n">
        <f aca="false">D6*Assumptions!$C$31</f>
        <v>1174.92345048887</v>
      </c>
      <c r="E13" s="36" t="n">
        <f aca="false">E6*Assumptions!$C$31</f>
        <v>1169.46729631705</v>
      </c>
      <c r="F13" s="36" t="n">
        <f aca="false">F6*Assumptions!$C$31</f>
        <v>1181.11479712975</v>
      </c>
      <c r="G13" s="36" t="n">
        <f aca="false">G6*Assumptions!$C$31</f>
        <v>1210.12671491655</v>
      </c>
      <c r="H13" s="36" t="n">
        <f aca="false">H6*Assumptions!$C$31</f>
        <v>1257.52334460182</v>
      </c>
    </row>
    <row r="14" customFormat="false" ht="15" hidden="false" customHeight="false" outlineLevel="0" collapsed="false">
      <c r="B14" s="10" t="s">
        <v>167</v>
      </c>
      <c r="C14" s="36" t="n">
        <f aca="false">C6*Assumptions!$C$32</f>
        <v>6676.74969881923</v>
      </c>
      <c r="D14" s="36" t="n">
        <f aca="false">D6*Assumptions!$C$32</f>
        <v>6548.24003016558</v>
      </c>
      <c r="E14" s="36" t="n">
        <f aca="false">E6*Assumptions!$C$32</f>
        <v>6517.83106425061</v>
      </c>
      <c r="F14" s="36" t="n">
        <f aca="false">F6*Assumptions!$C$32</f>
        <v>6582.74646877452</v>
      </c>
      <c r="G14" s="36" t="n">
        <f aca="false">G6*Assumptions!$C$32</f>
        <v>6744.43955722582</v>
      </c>
      <c r="H14" s="36" t="n">
        <f aca="false">H6*Assumptions!$C$32</f>
        <v>7008.5967733158</v>
      </c>
    </row>
    <row r="15" customFormat="false" ht="15" hidden="false" customHeight="false" outlineLevel="0" collapsed="false">
      <c r="B15" s="10" t="s">
        <v>168</v>
      </c>
      <c r="D15" s="26" t="n">
        <f aca="false">D14-C14</f>
        <v>-128.509668653647</v>
      </c>
      <c r="E15" s="26" t="n">
        <f aca="false">E14-D14</f>
        <v>-30.4089659149731</v>
      </c>
      <c r="F15" s="26" t="n">
        <f aca="false">F14-E14</f>
        <v>64.9154045239066</v>
      </c>
      <c r="G15" s="26" t="n">
        <f aca="false">G14-F14</f>
        <v>161.693088451299</v>
      </c>
      <c r="H15" s="26" t="n">
        <f aca="false">H14-G14</f>
        <v>264.157216089983</v>
      </c>
    </row>
    <row r="16" customFormat="false" ht="15" hidden="false" customHeight="false" outlineLevel="0" collapsed="false">
      <c r="B16" s="22" t="s">
        <v>169</v>
      </c>
      <c r="D16" s="35" t="n">
        <f aca="false">D11+D12-D13-D15</f>
        <v>2683.34581774666</v>
      </c>
      <c r="E16" s="35" t="n">
        <f aca="false">E11+E12-E13-E15</f>
        <v>3098.03158058842</v>
      </c>
      <c r="F16" s="35" t="n">
        <f aca="false">F11+F12-F13-F15</f>
        <v>3563.13575466232</v>
      </c>
      <c r="G16" s="35" t="n">
        <f aca="false">G11+G12-G13-G15</f>
        <v>4098.36597880934</v>
      </c>
      <c r="H16" s="35" t="n">
        <f aca="false">H11+H12-H13-H15</f>
        <v>4726.90890306044</v>
      </c>
    </row>
    <row r="17" customFormat="false" ht="15" hidden="false" customHeight="false" outlineLevel="0" collapsed="false">
      <c r="B17" s="10" t="s">
        <v>102</v>
      </c>
      <c r="D17" s="26" t="n">
        <f aca="false">D9+D12</f>
        <v>4374.97537416881</v>
      </c>
      <c r="E17" s="26" t="n">
        <f aca="false">E9+E12</f>
        <v>5002.37562410734</v>
      </c>
      <c r="F17" s="26" t="n">
        <f aca="false">F9+F12</f>
        <v>5706.36557183308</v>
      </c>
      <c r="G17" s="26" t="n">
        <f aca="false">G9+G12</f>
        <v>6516.76837697843</v>
      </c>
      <c r="H17" s="26" t="n">
        <f aca="false">H9+H12</f>
        <v>7468.49580309869</v>
      </c>
    </row>
    <row r="18" customFormat="false" ht="15" hidden="false" customHeight="false" outlineLevel="0" collapsed="false">
      <c r="B18" s="10" t="s">
        <v>170</v>
      </c>
      <c r="D18" s="37" t="n">
        <f aca="false">D5-0.5*Assumptions!$C$14</f>
        <v>0.5</v>
      </c>
      <c r="E18" s="37" t="n">
        <f aca="false">E5-0.5*Assumptions!$C$14</f>
        <v>1.5</v>
      </c>
      <c r="F18" s="37" t="n">
        <f aca="false">F5-0.5*Assumptions!$C$14</f>
        <v>2.5</v>
      </c>
      <c r="G18" s="37" t="n">
        <f aca="false">G5-0.5*Assumptions!$C$14</f>
        <v>3.5</v>
      </c>
      <c r="H18" s="37" t="n">
        <f aca="false">H5-0.5*Assumptions!$C$14</f>
        <v>4.5</v>
      </c>
    </row>
    <row r="19" customFormat="false" ht="15" hidden="false" customHeight="false" outlineLevel="0" collapsed="false">
      <c r="B19" s="10" t="s">
        <v>171</v>
      </c>
      <c r="D19" s="38" t="n">
        <f aca="false">1/(1+$C$23)^D18</f>
        <v>0.958338517749485</v>
      </c>
      <c r="E19" s="38" t="n">
        <f aca="false">1/(1+$C$23)^E18</f>
        <v>0.88015027959423</v>
      </c>
      <c r="F19" s="38" t="n">
        <f aca="false">1/(1+$C$23)^F18</f>
        <v>0.808341207540092</v>
      </c>
      <c r="G19" s="38" t="n">
        <f aca="false">1/(1+$C$23)^G18</f>
        <v>0.742390842741781</v>
      </c>
      <c r="H19" s="38" t="n">
        <f aca="false">1/(1+$C$23)^H18</f>
        <v>0.681821189178353</v>
      </c>
    </row>
    <row r="20" customFormat="false" ht="15" hidden="false" customHeight="false" outlineLevel="0" collapsed="false">
      <c r="B20" s="22" t="s">
        <v>172</v>
      </c>
      <c r="D20" s="35" t="n">
        <f aca="false">D16*D19</f>
        <v>2571.55365358861</v>
      </c>
      <c r="E20" s="35" t="n">
        <f aca="false">E16*E19</f>
        <v>2726.73336184665</v>
      </c>
      <c r="F20" s="35" t="n">
        <f aca="false">F16*F19</f>
        <v>2880.22945855301</v>
      </c>
      <c r="G20" s="35" t="n">
        <f aca="false">G16*G19</f>
        <v>3042.58937287251</v>
      </c>
      <c r="H20" s="35" t="n">
        <f aca="false">H16*H19</f>
        <v>3222.90664942242</v>
      </c>
    </row>
    <row r="22" customFormat="false" ht="15" hidden="false" customHeight="false" outlineLevel="0" collapsed="false">
      <c r="B22" s="9" t="s">
        <v>173</v>
      </c>
    </row>
    <row r="23" customFormat="false" ht="15" hidden="false" customHeight="false" outlineLevel="0" collapsed="false">
      <c r="B23" s="10" t="s">
        <v>9</v>
      </c>
      <c r="C23" s="32" t="n">
        <f aca="false">WACC!$C$24</f>
        <v>0.0888351000596193</v>
      </c>
    </row>
    <row r="24" customFormat="false" ht="15" hidden="false" customHeight="false" outlineLevel="0" collapsed="false">
      <c r="B24" s="10" t="s">
        <v>79</v>
      </c>
      <c r="C24" s="32" t="n">
        <f aca="false">Assumptions!$C$11+INDEX(Assumptions!$C$39:$E$39,Assumptions!$C$4)</f>
        <v>0.025</v>
      </c>
    </row>
    <row r="25" customFormat="false" ht="15" hidden="false" customHeight="false" outlineLevel="0" collapsed="false">
      <c r="B25" s="10" t="s">
        <v>174</v>
      </c>
      <c r="C25" s="26" t="n">
        <f aca="false">SUM(D20:H20)</f>
        <v>14444.0124962832</v>
      </c>
    </row>
    <row r="26" customFormat="false" ht="15" hidden="false" customHeight="false" outlineLevel="0" collapsed="false">
      <c r="B26" s="10" t="s">
        <v>175</v>
      </c>
      <c r="C26" s="26" t="n">
        <f aca="false">H16*(1+C24)/(C23-C24)</f>
        <v>75899.9613239715</v>
      </c>
      <c r="I26" s="3" t="s">
        <v>176</v>
      </c>
    </row>
    <row r="27" customFormat="false" ht="15" hidden="false" customHeight="false" outlineLevel="0" collapsed="false">
      <c r="B27" s="10" t="s">
        <v>177</v>
      </c>
      <c r="C27" s="26" t="n">
        <f aca="false">C26/(1+C23)^H5</f>
        <v>49594.2117710629</v>
      </c>
    </row>
    <row r="28" customFormat="false" ht="15" hidden="false" customHeight="false" outlineLevel="0" collapsed="false">
      <c r="B28" s="22" t="s">
        <v>178</v>
      </c>
      <c r="C28" s="35" t="n">
        <f aca="false">C25+C27</f>
        <v>64038.2242673461</v>
      </c>
    </row>
    <row r="29" customFormat="false" ht="15" hidden="false" customHeight="false" outlineLevel="0" collapsed="false">
      <c r="B29" s="10" t="s">
        <v>179</v>
      </c>
      <c r="C29" s="36" t="n">
        <f aca="false">Assumptions!$C$22</f>
        <v>-3970</v>
      </c>
    </row>
    <row r="30" customFormat="false" ht="15" hidden="false" customHeight="false" outlineLevel="0" collapsed="false">
      <c r="B30" s="10" t="s">
        <v>180</v>
      </c>
      <c r="C30" s="26" t="n">
        <f aca="false">C28-C29</f>
        <v>68008.2242673461</v>
      </c>
    </row>
    <row r="31" customFormat="false" ht="15" hidden="false" customHeight="false" outlineLevel="0" collapsed="false">
      <c r="B31" s="10" t="s">
        <v>44</v>
      </c>
      <c r="C31" s="39" t="n">
        <f aca="false">Assumptions!$C$18</f>
        <v>1373.1</v>
      </c>
    </row>
    <row r="32" customFormat="false" ht="15" hidden="false" customHeight="false" outlineLevel="0" collapsed="false">
      <c r="B32" s="22" t="s">
        <v>181</v>
      </c>
      <c r="C32" s="40" t="n">
        <f aca="false">C30/C31</f>
        <v>49.528966766693</v>
      </c>
    </row>
    <row r="33" customFormat="false" ht="15" hidden="false" customHeight="false" outlineLevel="0" collapsed="false">
      <c r="B33" s="10" t="s">
        <v>182</v>
      </c>
      <c r="C33" s="27" t="n">
        <f aca="false">C27/C28</f>
        <v>0.774447017206747</v>
      </c>
    </row>
    <row r="34" customFormat="false" ht="15" hidden="false" customHeight="false" outlineLevel="0" collapsed="false">
      <c r="B34" s="10" t="s">
        <v>183</v>
      </c>
      <c r="C34" s="28" t="n">
        <f aca="false">C26/H17</f>
        <v>10.162683802069</v>
      </c>
    </row>
    <row r="36" customFormat="false" ht="15" hidden="false" customHeight="false" outlineLevel="0" collapsed="false">
      <c r="B36" s="9" t="s">
        <v>184</v>
      </c>
    </row>
    <row r="37" customFormat="false" ht="15" hidden="false" customHeight="false" outlineLevel="0" collapsed="false">
      <c r="B37" s="10" t="s">
        <v>185</v>
      </c>
      <c r="C37" s="41" t="n">
        <f aca="false">Assumptions!$C$12</f>
        <v>12.500010432516</v>
      </c>
    </row>
    <row r="38" customFormat="false" ht="15" hidden="false" customHeight="false" outlineLevel="0" collapsed="false">
      <c r="B38" s="10" t="s">
        <v>175</v>
      </c>
      <c r="C38" s="26" t="n">
        <f aca="false">H17*C37</f>
        <v>93356.2754539356</v>
      </c>
    </row>
    <row r="39" customFormat="false" ht="15" hidden="false" customHeight="false" outlineLevel="0" collapsed="false">
      <c r="B39" s="10" t="s">
        <v>177</v>
      </c>
      <c r="C39" s="26" t="n">
        <f aca="false">C38/(1+C23)^H5</f>
        <v>61000.4381327385</v>
      </c>
    </row>
    <row r="40" customFormat="false" ht="15" hidden="false" customHeight="false" outlineLevel="0" collapsed="false">
      <c r="B40" s="22" t="s">
        <v>178</v>
      </c>
      <c r="C40" s="35" t="n">
        <f aca="false">C25+C39</f>
        <v>75444.4506290217</v>
      </c>
    </row>
    <row r="41" customFormat="false" ht="15" hidden="false" customHeight="false" outlineLevel="0" collapsed="false">
      <c r="B41" s="10" t="s">
        <v>180</v>
      </c>
      <c r="C41" s="26" t="n">
        <f aca="false">C40-C29</f>
        <v>79414.4506290217</v>
      </c>
    </row>
    <row r="42" customFormat="false" ht="15" hidden="false" customHeight="false" outlineLevel="0" collapsed="false">
      <c r="B42" s="22" t="s">
        <v>181</v>
      </c>
      <c r="C42" s="40" t="n">
        <f aca="false">C41/C31</f>
        <v>57.8358827682045</v>
      </c>
    </row>
    <row r="43" customFormat="false" ht="15" hidden="false" customHeight="false" outlineLevel="0" collapsed="false">
      <c r="B43" s="10" t="s">
        <v>186</v>
      </c>
      <c r="C43" s="27" t="n">
        <f aca="false">(C38*C23-H16)/(C38+H16)</f>
        <v>0.0363610255056826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G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14" min="3" style="0" width="12"/>
  </cols>
  <sheetData>
    <row r="1" customFormat="false" ht="17.35" hidden="false" customHeight="false" outlineLevel="0" collapsed="false">
      <c r="B1" s="13" t="s">
        <v>187</v>
      </c>
    </row>
    <row r="2" customFormat="false" ht="15" hidden="false" customHeight="false" outlineLevel="0" collapsed="false">
      <c r="B2" s="3" t="s">
        <v>188</v>
      </c>
    </row>
    <row r="4" customFormat="false" ht="15" hidden="false" customHeight="false" outlineLevel="0" collapsed="false">
      <c r="B4" s="10" t="s">
        <v>189</v>
      </c>
      <c r="C4" s="15" t="n">
        <v>0.005</v>
      </c>
      <c r="D4" s="10" t="s">
        <v>190</v>
      </c>
      <c r="E4" s="15" t="n">
        <v>0.0025</v>
      </c>
      <c r="F4" s="10" t="s">
        <v>191</v>
      </c>
      <c r="G4" s="42" t="n">
        <v>1</v>
      </c>
    </row>
    <row r="6" customFormat="false" ht="15" hidden="false" customHeight="false" outlineLevel="0" collapsed="false">
      <c r="B6" s="9" t="s">
        <v>192</v>
      </c>
    </row>
    <row r="7" customFormat="false" ht="15" hidden="false" customHeight="false" outlineLevel="0" collapsed="false">
      <c r="B7" s="22" t="s">
        <v>193</v>
      </c>
      <c r="C7" s="43" t="n">
        <f aca="false">DCF!$C$24+(-2)*$E$4</f>
        <v>0.02</v>
      </c>
      <c r="D7" s="43" t="n">
        <f aca="false">DCF!$C$24+(-1)*$E$4</f>
        <v>0.0225</v>
      </c>
      <c r="E7" s="43" t="n">
        <f aca="false">DCF!$C$24+(0)*$E$4</f>
        <v>0.025</v>
      </c>
      <c r="F7" s="43" t="n">
        <f aca="false">DCF!$C$24+(1)*$E$4</f>
        <v>0.0275</v>
      </c>
      <c r="G7" s="43" t="n">
        <f aca="false">DCF!$C$24+(2)*$E$4</f>
        <v>0.03</v>
      </c>
    </row>
    <row r="8" customFormat="false" ht="15" hidden="false" customHeight="false" outlineLevel="0" collapsed="false">
      <c r="B8" s="43" t="n">
        <f aca="false">DCF!$C$23+(-2)*$C$4</f>
        <v>0.0788351000596193</v>
      </c>
      <c r="C8" s="44" t="n">
        <f aca="false">IF($B8&gt;C$7,(SUMPRODUCT(DCF!$D$16:$H$16/(1+$B8)^DCF!$D$18:$H$18)+DCF!$H$16*(1+C$7)/($B8-C$7)/(1+$B8)^DCF!$H$5-DCF!$C$29)/DCF!$C$31,"n/a")</f>
        <v>54.5059504585647</v>
      </c>
      <c r="D8" s="44" t="n">
        <f aca="false">IF($B8&gt;D$7,(SUMPRODUCT(DCF!$D$16:$H$16/(1+$B8)^DCF!$D$18:$H$18)+DCF!$H$16*(1+D$7)/($B8-D$7)/(1+$B8)^DCF!$H$5-DCF!$C$29)/DCF!$C$31,"n/a")</f>
        <v>56.4227612087213</v>
      </c>
      <c r="E8" s="44" t="n">
        <f aca="false">IF($B8&gt;E$7,(SUMPRODUCT(DCF!$D$16:$H$16/(1+$B8)^DCF!$D$18:$H$18)+DCF!$H$16*(1+E$7)/($B8-E$7)/(1+$B8)^DCF!$H$5-DCF!$C$29)/DCF!$C$31,"n/a")</f>
        <v>58.5175980745566</v>
      </c>
      <c r="F8" s="44" t="n">
        <f aca="false">IF($B8&gt;F$7,(SUMPRODUCT(DCF!$D$16:$H$16/(1+$B8)^DCF!$D$18:$H$18)+DCF!$H$16*(1+F$7)/($B8-F$7)/(1+$B8)^DCF!$H$5-DCF!$C$29)/DCF!$C$31,"n/a")</f>
        <v>60.8164704700199</v>
      </c>
      <c r="G8" s="44" t="n">
        <f aca="false">IF($B8&gt;G$7,(SUMPRODUCT(DCF!$D$16:$H$16/(1+$B8)^DCF!$D$18:$H$18)+DCF!$H$16*(1+G$7)/($B8-G$7)/(1+$B8)^DCF!$H$5-DCF!$C$29)/DCF!$C$31,"n/a")</f>
        <v>63.3507137762274</v>
      </c>
    </row>
    <row r="9" customFormat="false" ht="15" hidden="false" customHeight="false" outlineLevel="0" collapsed="false">
      <c r="B9" s="43" t="n">
        <f aca="false">DCF!$C$23+(-1)*$C$4</f>
        <v>0.0838351000596193</v>
      </c>
      <c r="C9" s="44" t="n">
        <f aca="false">IF($B9&gt;C$7,(SUMPRODUCT(DCF!$D$16:$H$16/(1+$B9)^DCF!$D$18:$H$18)+DCF!$H$16*(1+C$7)/($B9-C$7)/(1+$B9)^DCF!$H$5-DCF!$C$29)/DCF!$C$31,"n/a")</f>
        <v>50.3169705124632</v>
      </c>
      <c r="D9" s="44" t="n">
        <f aca="false">IF($B9&gt;D$7,(SUMPRODUCT(DCF!$D$16:$H$16/(1+$B9)^DCF!$D$18:$H$18)+DCF!$H$16*(1+D$7)/($B9-D$7)/(1+$B9)^DCF!$H$5-DCF!$C$29)/DCF!$C$31,"n/a")</f>
        <v>51.9098891967984</v>
      </c>
      <c r="E9" s="44" t="n">
        <f aca="false">IF($B9&gt;E$7,(SUMPRODUCT(DCF!$D$16:$H$16/(1+$B9)^DCF!$D$18:$H$18)+DCF!$H$16*(1+E$7)/($B9-E$7)/(1+$B9)^DCF!$H$5-DCF!$C$29)/DCF!$C$31,"n/a")</f>
        <v>53.6381793415986</v>
      </c>
      <c r="F9" s="44" t="n">
        <f aca="false">IF($B9&gt;F$7,(SUMPRODUCT(DCF!$D$16:$H$16/(1+$B9)^DCF!$D$18:$H$18)+DCF!$H$16*(1+F$7)/($B9-F$7)/(1+$B9)^DCF!$H$5-DCF!$C$29)/DCF!$C$31,"n/a")</f>
        <v>55.5198632092262</v>
      </c>
      <c r="G9" s="44" t="n">
        <f aca="false">IF($B9&gt;G$7,(SUMPRODUCT(DCF!$D$16:$H$16/(1+$B9)^DCF!$D$18:$H$18)+DCF!$H$16*(1+G$7)/($B9-G$7)/(1+$B9)^DCF!$H$5-DCF!$C$29)/DCF!$C$31,"n/a")</f>
        <v>57.5763107408523</v>
      </c>
    </row>
    <row r="10" customFormat="false" ht="15" hidden="false" customHeight="false" outlineLevel="0" collapsed="false">
      <c r="B10" s="43" t="n">
        <f aca="false">DCF!$C$23+(0)*$C$4</f>
        <v>0.0888351000596193</v>
      </c>
      <c r="C10" s="44" t="n">
        <f aca="false">IF($B10&gt;C$7,(SUMPRODUCT(DCF!$D$16:$H$16/(1+$B10)^DCF!$D$18:$H$18)+DCF!$H$16*(1+C$7)/($B10-C$7)/(1+$B10)^DCF!$H$5-DCF!$C$29)/DCF!$C$31,"n/a")</f>
        <v>46.7420299142642</v>
      </c>
      <c r="D10" s="44" t="n">
        <f aca="false">IF($B10&gt;D$7,(SUMPRODUCT(DCF!$D$16:$H$16/(1+$B10)^DCF!$D$18:$H$18)+DCF!$H$16*(1+D$7)/($B10-D$7)/(1+$B10)^DCF!$H$5-DCF!$C$29)/DCF!$C$31,"n/a")</f>
        <v>48.0829820849457</v>
      </c>
      <c r="E10" s="44" t="n">
        <f aca="false">IF($B10&gt;E$7,(SUMPRODUCT(DCF!$D$16:$H$16/(1+$B10)^DCF!$D$18:$H$18)+DCF!$H$16*(1+E$7)/($B10-E$7)/(1+$B10)^DCF!$H$5-DCF!$C$29)/DCF!$C$31,"n/a")</f>
        <v>49.528966766693</v>
      </c>
      <c r="F10" s="44" t="n">
        <f aca="false">IF($B10&gt;F$7,(SUMPRODUCT(DCF!$D$16:$H$16/(1+$B10)^DCF!$D$18:$H$18)+DCF!$H$16*(1+F$7)/($B10-F$7)/(1+$B10)^DCF!$H$5-DCF!$C$29)/DCF!$C$31,"n/a")</f>
        <v>51.0928272390024</v>
      </c>
      <c r="G10" s="44" t="n">
        <f aca="false">IF($B10&gt;G$7,(SUMPRODUCT(DCF!$D$16:$H$16/(1+$B10)^DCF!$D$18:$H$18)+DCF!$H$16*(1+G$7)/($B10-G$7)/(1+$B10)^DCF!$H$5-DCF!$C$29)/DCF!$C$31,"n/a")</f>
        <v>52.7895897095005</v>
      </c>
    </row>
    <row r="11" customFormat="false" ht="15" hidden="false" customHeight="false" outlineLevel="0" collapsed="false">
      <c r="B11" s="43" t="n">
        <f aca="false">DCF!$C$23+(1)*$C$4</f>
        <v>0.0938351000596193</v>
      </c>
      <c r="C11" s="44" t="n">
        <f aca="false">IF($B11&gt;C$7,(SUMPRODUCT(DCF!$D$16:$H$16/(1+$B11)^DCF!$D$18:$H$18)+DCF!$H$16*(1+C$7)/($B11-C$7)/(1+$B11)^DCF!$H$5-DCF!$C$29)/DCF!$C$31,"n/a")</f>
        <v>43.656201016319</v>
      </c>
      <c r="D11" s="44" t="n">
        <f aca="false">IF($B11&gt;D$7,(SUMPRODUCT(DCF!$D$16:$H$16/(1+$B11)^DCF!$D$18:$H$18)+DCF!$H$16*(1+D$7)/($B11-D$7)/(1+$B11)^DCF!$H$5-DCF!$C$29)/DCF!$C$31,"n/a")</f>
        <v>44.7976105885149</v>
      </c>
      <c r="E11" s="44" t="n">
        <f aca="false">IF($B11&gt;E$7,(SUMPRODUCT(DCF!$D$16:$H$16/(1+$B11)^DCF!$D$18:$H$18)+DCF!$H$16*(1+E$7)/($B11-E$7)/(1+$B11)^DCF!$H$5-DCF!$C$29)/DCF!$C$31,"n/a")</f>
        <v>46.0219291396479</v>
      </c>
      <c r="F11" s="44" t="n">
        <f aca="false">IF($B11&gt;F$7,(SUMPRODUCT(DCF!$D$16:$H$16/(1+$B11)^DCF!$D$18:$H$18)+DCF!$H$16*(1+F$7)/($B11-F$7)/(1+$B11)^DCF!$H$5-DCF!$C$29)/DCF!$C$31,"n/a")</f>
        <v>47.3385305508378</v>
      </c>
      <c r="G11" s="44" t="n">
        <f aca="false">IF($B11&gt;G$7,(SUMPRODUCT(DCF!$D$16:$H$16/(1+$B11)^DCF!$D$18:$H$18)+DCF!$H$16*(1+G$7)/($B11-G$7)/(1+$B11)^DCF!$H$5-DCF!$C$29)/DCF!$C$31,"n/a")</f>
        <v>48.7582571556877</v>
      </c>
    </row>
    <row r="12" customFormat="false" ht="15" hidden="false" customHeight="false" outlineLevel="0" collapsed="false">
      <c r="B12" s="43" t="n">
        <f aca="false">DCF!$C$23+(2)*$C$4</f>
        <v>0.0988351000596193</v>
      </c>
      <c r="C12" s="44" t="n">
        <f aca="false">IF($B12&gt;C$7,(SUMPRODUCT(DCF!$D$16:$H$16/(1+$B12)^DCF!$D$18:$H$18)+DCF!$H$16*(1+C$7)/($B12-C$7)/(1+$B12)^DCF!$H$5-DCF!$C$29)/DCF!$C$31,"n/a")</f>
        <v>40.9662563859086</v>
      </c>
      <c r="D12" s="44" t="n">
        <f aca="false">IF($B12&gt;D$7,(SUMPRODUCT(DCF!$D$16:$H$16/(1+$B12)^DCF!$D$18:$H$18)+DCF!$H$16*(1+D$7)/($B12-D$7)/(1+$B12)^DCF!$H$5-DCF!$C$29)/DCF!$C$31,"n/a")</f>
        <v>41.9471932984793</v>
      </c>
      <c r="E12" s="44" t="n">
        <f aca="false">IF($B12&gt;E$7,(SUMPRODUCT(DCF!$D$16:$H$16/(1+$B12)^DCF!$D$18:$H$18)+DCF!$H$16*(1+E$7)/($B12-E$7)/(1+$B12)^DCF!$H$5-DCF!$C$29)/DCF!$C$31,"n/a")</f>
        <v>42.9945577578251</v>
      </c>
      <c r="F12" s="44" t="n">
        <f aca="false">IF($B12&gt;F$7,(SUMPRODUCT(DCF!$D$16:$H$16/(1+$B12)^DCF!$D$18:$H$18)+DCF!$H$16*(1+F$7)/($B12-F$7)/(1+$B12)^DCF!$H$5-DCF!$C$29)/DCF!$C$31,"n/a")</f>
        <v>44.1153337956554</v>
      </c>
      <c r="G12" s="44" t="n">
        <f aca="false">IF($B12&gt;G$7,(SUMPRODUCT(DCF!$D$16:$H$16/(1+$B12)^DCF!$D$18:$H$18)+DCF!$H$16*(1+G$7)/($B12-G$7)/(1+$B12)^DCF!$H$5-DCF!$C$29)/DCF!$C$31,"n/a")</f>
        <v>45.3175200469422</v>
      </c>
    </row>
    <row r="15" customFormat="false" ht="15" hidden="false" customHeight="false" outlineLevel="0" collapsed="false">
      <c r="B15" s="9" t="s">
        <v>194</v>
      </c>
    </row>
    <row r="16" customFormat="false" ht="15" hidden="false" customHeight="false" outlineLevel="0" collapsed="false">
      <c r="B16" s="22" t="s">
        <v>195</v>
      </c>
      <c r="C16" s="45" t="n">
        <f aca="false">DCF!$C$37+(-2)*$G$4</f>
        <v>10.500010432516</v>
      </c>
      <c r="D16" s="45" t="n">
        <f aca="false">DCF!$C$37+(-1)*$G$4</f>
        <v>11.500010432516</v>
      </c>
      <c r="E16" s="45" t="n">
        <f aca="false">DCF!$C$37+(0)*$G$4</f>
        <v>12.500010432516</v>
      </c>
      <c r="F16" s="45" t="n">
        <f aca="false">DCF!$C$37+(1)*$G$4</f>
        <v>13.500010432516</v>
      </c>
      <c r="G16" s="45" t="n">
        <f aca="false">DCF!$C$37+(2)*$G$4</f>
        <v>14.500010432516</v>
      </c>
    </row>
    <row r="17" customFormat="false" ht="15" hidden="false" customHeight="false" outlineLevel="0" collapsed="false">
      <c r="B17" s="43" t="n">
        <f aca="false">DCF!$C$23+(-2)*$C$4</f>
        <v>0.0788351000596193</v>
      </c>
      <c r="C17" s="44" t="n">
        <f aca="false">(SUMPRODUCT(DCF!$D$16:$H$16/(1+$B17)^DCF!$D$18:$H$18)+DCF!$H$17*C$16/(1+$B17)^DCF!$H$5-DCF!$C$29)/DCF!$C$31</f>
        <v>52.7472235133325</v>
      </c>
      <c r="D17" s="44" t="n">
        <f aca="false">(SUMPRODUCT(DCF!$D$16:$H$16/(1+$B17)^DCF!$D$18:$H$18)+DCF!$H$17*D$16/(1+$B17)^DCF!$H$5-DCF!$C$29)/DCF!$C$31</f>
        <v>56.4690458235323</v>
      </c>
      <c r="E17" s="44" t="n">
        <f aca="false">(SUMPRODUCT(DCF!$D$16:$H$16/(1+$B17)^DCF!$D$18:$H$18)+DCF!$H$17*E$16/(1+$B17)^DCF!$H$5-DCF!$C$29)/DCF!$C$31</f>
        <v>60.1908681337321</v>
      </c>
      <c r="F17" s="44" t="n">
        <f aca="false">(SUMPRODUCT(DCF!$D$16:$H$16/(1+$B17)^DCF!$D$18:$H$18)+DCF!$H$17*F$16/(1+$B17)^DCF!$H$5-DCF!$C$29)/DCF!$C$31</f>
        <v>63.9126904439318</v>
      </c>
      <c r="G17" s="44" t="n">
        <f aca="false">(SUMPRODUCT(DCF!$D$16:$H$16/(1+$B17)^DCF!$D$18:$H$18)+DCF!$H$17*G$16/(1+$B17)^DCF!$H$5-DCF!$C$29)/DCF!$C$31</f>
        <v>67.6345127541316</v>
      </c>
    </row>
    <row r="18" customFormat="false" ht="15" hidden="false" customHeight="false" outlineLevel="0" collapsed="false">
      <c r="B18" s="43" t="n">
        <f aca="false">DCF!$C$23+(-1)*$C$4</f>
        <v>0.0838351000596193</v>
      </c>
      <c r="C18" s="44" t="n">
        <f aca="false">(SUMPRODUCT(DCF!$D$16:$H$16/(1+$B18)^DCF!$D$18:$H$18)+DCF!$H$17*C$16/(1+$B18)^DCF!$H$5-DCF!$C$29)/DCF!$C$31</f>
        <v>51.7240363840019</v>
      </c>
      <c r="D18" s="44" t="n">
        <f aca="false">(SUMPRODUCT(DCF!$D$16:$H$16/(1+$B18)^DCF!$D$18:$H$18)+DCF!$H$17*D$16/(1+$B18)^DCF!$H$5-DCF!$C$29)/DCF!$C$31</f>
        <v>55.3607986840795</v>
      </c>
      <c r="E18" s="44" t="n">
        <f aca="false">(SUMPRODUCT(DCF!$D$16:$H$16/(1+$B18)^DCF!$D$18:$H$18)+DCF!$H$17*E$16/(1+$B18)^DCF!$H$5-DCF!$C$29)/DCF!$C$31</f>
        <v>58.9975609841571</v>
      </c>
      <c r="F18" s="44" t="n">
        <f aca="false">(SUMPRODUCT(DCF!$D$16:$H$16/(1+$B18)^DCF!$D$18:$H$18)+DCF!$H$17*F$16/(1+$B18)^DCF!$H$5-DCF!$C$29)/DCF!$C$31</f>
        <v>62.6343232842347</v>
      </c>
      <c r="G18" s="44" t="n">
        <f aca="false">(SUMPRODUCT(DCF!$D$16:$H$16/(1+$B18)^DCF!$D$18:$H$18)+DCF!$H$17*G$16/(1+$B18)^DCF!$H$5-DCF!$C$29)/DCF!$C$31</f>
        <v>66.2710855843122</v>
      </c>
    </row>
    <row r="19" customFormat="false" ht="15" hidden="false" customHeight="false" outlineLevel="0" collapsed="false">
      <c r="B19" s="43" t="n">
        <f aca="false">DCF!$C$23+(0)*$C$4</f>
        <v>0.0888351000596193</v>
      </c>
      <c r="C19" s="44" t="n">
        <f aca="false">(SUMPRODUCT(DCF!$D$16:$H$16/(1+$B19)^DCF!$D$18:$H$18)+DCF!$H$17*C$16/(1+$B19)^DCF!$H$5-DCF!$C$29)/DCF!$C$31</f>
        <v>50.7278338602751</v>
      </c>
      <c r="D19" s="44" t="n">
        <f aca="false">(SUMPRODUCT(DCF!$D$16:$H$16/(1+$B19)^DCF!$D$18:$H$18)+DCF!$H$17*D$16/(1+$B19)^DCF!$H$5-DCF!$C$29)/DCF!$C$31</f>
        <v>54.2818583142398</v>
      </c>
      <c r="E19" s="44" t="n">
        <f aca="false">(SUMPRODUCT(DCF!$D$16:$H$16/(1+$B19)^DCF!$D$18:$H$18)+DCF!$H$17*E$16/(1+$B19)^DCF!$H$5-DCF!$C$29)/DCF!$C$31</f>
        <v>57.8358827682045</v>
      </c>
      <c r="F19" s="44" t="n">
        <f aca="false">(SUMPRODUCT(DCF!$D$16:$H$16/(1+$B19)^DCF!$D$18:$H$18)+DCF!$H$17*F$16/(1+$B19)^DCF!$H$5-DCF!$C$29)/DCF!$C$31</f>
        <v>61.3899072221693</v>
      </c>
      <c r="G19" s="44" t="n">
        <f aca="false">(SUMPRODUCT(DCF!$D$16:$H$16/(1+$B19)^DCF!$D$18:$H$18)+DCF!$H$17*G$16/(1+$B19)^DCF!$H$5-DCF!$C$29)/DCF!$C$31</f>
        <v>64.943931676134</v>
      </c>
    </row>
    <row r="20" customFormat="false" ht="15" hidden="false" customHeight="false" outlineLevel="0" collapsed="false">
      <c r="B20" s="43" t="n">
        <f aca="false">DCF!$C$23+(1)*$C$4</f>
        <v>0.0938351000596193</v>
      </c>
      <c r="C20" s="44" t="n">
        <f aca="false">(SUMPRODUCT(DCF!$D$16:$H$16/(1+$B20)^DCF!$D$18:$H$18)+DCF!$H$17*C$16/(1+$B20)^DCF!$H$5-DCF!$C$29)/DCF!$C$31</f>
        <v>49.7577757969286</v>
      </c>
      <c r="D20" s="44" t="n">
        <f aca="false">(SUMPRODUCT(DCF!$D$16:$H$16/(1+$B20)^DCF!$D$18:$H$18)+DCF!$H$17*D$16/(1+$B20)^DCF!$H$5-DCF!$C$29)/DCF!$C$31</f>
        <v>53.2313109425553</v>
      </c>
      <c r="E20" s="44" t="n">
        <f aca="false">(SUMPRODUCT(DCF!$D$16:$H$16/(1+$B20)^DCF!$D$18:$H$18)+DCF!$H$17*E$16/(1+$B20)^DCF!$H$5-DCF!$C$29)/DCF!$C$31</f>
        <v>56.7048460881821</v>
      </c>
      <c r="F20" s="44" t="n">
        <f aca="false">(SUMPRODUCT(DCF!$D$16:$H$16/(1+$B20)^DCF!$D$18:$H$18)+DCF!$H$17*F$16/(1+$B20)^DCF!$H$5-DCF!$C$29)/DCF!$C$31</f>
        <v>60.1783812338088</v>
      </c>
      <c r="G20" s="44" t="n">
        <f aca="false">(SUMPRODUCT(DCF!$D$16:$H$16/(1+$B20)^DCF!$D$18:$H$18)+DCF!$H$17*G$16/(1+$B20)^DCF!$H$5-DCF!$C$29)/DCF!$C$31</f>
        <v>63.6519163794356</v>
      </c>
    </row>
    <row r="21" customFormat="false" ht="15" hidden="false" customHeight="false" outlineLevel="0" collapsed="false">
      <c r="B21" s="43" t="n">
        <f aca="false">DCF!$C$23+(2)*$C$4</f>
        <v>0.0988351000596193</v>
      </c>
      <c r="C21" s="44" t="n">
        <f aca="false">(SUMPRODUCT(DCF!$D$16:$H$16/(1+$B21)^DCF!$D$18:$H$18)+DCF!$H$17*C$16/(1+$B21)^DCF!$H$5-DCF!$C$29)/DCF!$C$31</f>
        <v>48.813052009098</v>
      </c>
      <c r="D21" s="44" t="n">
        <f aca="false">(SUMPRODUCT(DCF!$D$16:$H$16/(1+$B21)^DCF!$D$18:$H$18)+DCF!$H$17*D$16/(1+$B21)^DCF!$H$5-DCF!$C$29)/DCF!$C$31</f>
        <v>52.2082754137472</v>
      </c>
      <c r="E21" s="44" t="n">
        <f aca="false">(SUMPRODUCT(DCF!$D$16:$H$16/(1+$B21)^DCF!$D$18:$H$18)+DCF!$H$17*E$16/(1+$B21)^DCF!$H$5-DCF!$C$29)/DCF!$C$31</f>
        <v>55.6034988183963</v>
      </c>
      <c r="F21" s="44" t="n">
        <f aca="false">(SUMPRODUCT(DCF!$D$16:$H$16/(1+$B21)^DCF!$D$18:$H$18)+DCF!$H$17*F$16/(1+$B21)^DCF!$H$5-DCF!$C$29)/DCF!$C$31</f>
        <v>58.9987222230455</v>
      </c>
      <c r="G21" s="44" t="n">
        <f aca="false">(SUMPRODUCT(DCF!$D$16:$H$16/(1+$B21)^DCF!$D$18:$H$18)+DCF!$H$17*G$16/(1+$B21)^DCF!$H$5-DCF!$C$29)/DCF!$C$31</f>
        <v>62.3939456276947</v>
      </c>
    </row>
    <row r="23" customFormat="false" ht="15" hidden="false" customHeight="false" outlineLevel="0" collapsed="false">
      <c r="B23" s="22" t="s">
        <v>196</v>
      </c>
      <c r="C23" s="44" t="n">
        <f aca="false">Assumptions!$C$17</f>
        <v>44.17</v>
      </c>
    </row>
  </sheetData>
  <conditionalFormatting sqref="C8:G12">
    <cfRule type="colorScale" priority="2">
      <colorScale>
        <cfvo type="min" val="0"/>
        <cfvo type="percentile" val="50"/>
        <cfvo type="max" val="0"/>
        <color rgb="FFF4CCCC"/>
        <color rgb="FFFFFFFF"/>
        <color rgb="FFC9E7D2"/>
      </colorScale>
    </cfRule>
  </conditionalFormatting>
  <conditionalFormatting sqref="C17:G21">
    <cfRule type="colorScale" priority="3">
      <colorScale>
        <cfvo type="min" val="0"/>
        <cfvo type="percentile" val="50"/>
        <cfvo type="max" val="0"/>
        <color rgb="FFF4CCCC"/>
        <color rgb="FFFFFFFF"/>
        <color rgb="FFC9E7D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Q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17" min="4" style="0" width="12"/>
  </cols>
  <sheetData>
    <row r="1" customFormat="false" ht="17.35" hidden="false" customHeight="false" outlineLevel="0" collapsed="false">
      <c r="B1" s="13" t="s">
        <v>197</v>
      </c>
    </row>
    <row r="2" customFormat="false" ht="15" hidden="false" customHeight="false" outlineLevel="0" collapsed="false">
      <c r="B2" s="3" t="s">
        <v>198</v>
      </c>
    </row>
    <row r="4" customFormat="false" ht="23.85" hidden="false" customHeight="false" outlineLevel="0" collapsed="false">
      <c r="B4" s="24" t="s">
        <v>199</v>
      </c>
      <c r="C4" s="25" t="s">
        <v>129</v>
      </c>
      <c r="D4" s="25" t="s">
        <v>200</v>
      </c>
      <c r="E4" s="25" t="s">
        <v>201</v>
      </c>
      <c r="F4" s="25" t="s">
        <v>202</v>
      </c>
      <c r="G4" s="25" t="s">
        <v>203</v>
      </c>
      <c r="H4" s="25" t="s">
        <v>204</v>
      </c>
      <c r="I4" s="25" t="s">
        <v>205</v>
      </c>
      <c r="J4" s="25" t="s">
        <v>178</v>
      </c>
      <c r="K4" s="25" t="s">
        <v>97</v>
      </c>
      <c r="L4" s="25" t="s">
        <v>102</v>
      </c>
      <c r="M4" s="25" t="s">
        <v>106</v>
      </c>
      <c r="N4" s="25" t="s">
        <v>206</v>
      </c>
      <c r="O4" s="25" t="s">
        <v>207</v>
      </c>
      <c r="P4" s="25" t="s">
        <v>208</v>
      </c>
      <c r="Q4" s="25" t="s">
        <v>62</v>
      </c>
    </row>
    <row r="5" customFormat="false" ht="15" hidden="false" customHeight="false" outlineLevel="0" collapsed="false">
      <c r="B5" s="10" t="s">
        <v>139</v>
      </c>
      <c r="C5" s="10" t="s">
        <v>209</v>
      </c>
      <c r="D5" s="18" t="n">
        <v>2025</v>
      </c>
      <c r="E5" s="19" t="n">
        <v>478.34</v>
      </c>
      <c r="F5" s="20" t="n">
        <v>115</v>
      </c>
      <c r="G5" s="26" t="n">
        <f aca="false">E5*F5</f>
        <v>55009.1</v>
      </c>
      <c r="H5" s="21" t="n">
        <v>0</v>
      </c>
      <c r="I5" s="21" t="n">
        <v>2625</v>
      </c>
      <c r="J5" s="26" t="n">
        <f aca="false">G5+H5-I5</f>
        <v>52384.1</v>
      </c>
      <c r="K5" s="21" t="n">
        <v>16629.93281</v>
      </c>
      <c r="L5" s="21" t="n">
        <v>3741.734882</v>
      </c>
      <c r="M5" s="21" t="n">
        <v>2720.989606</v>
      </c>
      <c r="N5" s="28" t="n">
        <f aca="false">IFERROR(J5/K5,"")</f>
        <v>3.14998867394702</v>
      </c>
      <c r="O5" s="28" t="n">
        <f aca="false">IF(AND(L5&gt;0,J5/L5&lt;=60,J5&gt;0),J5/L5,"")</f>
        <v>13.9999496629222</v>
      </c>
      <c r="P5" s="28" t="n">
        <f aca="false">IF(AND(M5&gt;0,G5/M5&lt;=100),G5/M5,"")</f>
        <v>20.2165785119872</v>
      </c>
      <c r="Q5" s="15" t="n">
        <v>0.2</v>
      </c>
    </row>
    <row r="6" customFormat="false" ht="15" hidden="false" customHeight="false" outlineLevel="0" collapsed="false">
      <c r="B6" s="10" t="s">
        <v>141</v>
      </c>
      <c r="C6" s="10" t="s">
        <v>210</v>
      </c>
      <c r="D6" s="18" t="n">
        <v>2025</v>
      </c>
      <c r="E6" s="19" t="n">
        <v>890.85</v>
      </c>
      <c r="F6" s="20" t="n">
        <v>25.76</v>
      </c>
      <c r="G6" s="26" t="n">
        <f aca="false">E6*F6</f>
        <v>22948.296</v>
      </c>
      <c r="H6" s="21" t="n">
        <v>0</v>
      </c>
      <c r="I6" s="21" t="n">
        <v>2100</v>
      </c>
      <c r="J6" s="26" t="n">
        <f aca="false">G6+H6-I6</f>
        <v>20848.296</v>
      </c>
      <c r="K6" s="21" t="n">
        <v>6807.601177</v>
      </c>
      <c r="L6" s="21" t="n">
        <v>1667.862288</v>
      </c>
      <c r="M6" s="21" t="n">
        <v>1224.142844</v>
      </c>
      <c r="N6" s="28" t="n">
        <f aca="false">IFERROR(J6/K6,"")</f>
        <v>3.06250255529621</v>
      </c>
      <c r="O6" s="28" t="n">
        <f aca="false">IF(AND(L6&gt;0,J6/L6&lt;=60,J6&gt;0),J6/L6,"")</f>
        <v>12.500010432516</v>
      </c>
      <c r="P6" s="28" t="n">
        <f aca="false">IF(AND(M6&gt;0,G6/M6&lt;=100),G6/M6,"")</f>
        <v>18.7464200869029</v>
      </c>
      <c r="Q6" s="15" t="n">
        <v>0.220000000008814</v>
      </c>
    </row>
    <row r="7" customFormat="false" ht="15" hidden="false" customHeight="false" outlineLevel="0" collapsed="false">
      <c r="B7" s="10" t="s">
        <v>142</v>
      </c>
      <c r="C7" s="10" t="s">
        <v>211</v>
      </c>
      <c r="D7" s="18" t="n">
        <v>2025</v>
      </c>
      <c r="E7" s="19" t="n">
        <v>106.41</v>
      </c>
      <c r="F7" s="20" t="n">
        <v>57.04</v>
      </c>
      <c r="G7" s="26" t="n">
        <f aca="false">E7*F7</f>
        <v>6069.6264</v>
      </c>
      <c r="H7" s="21" t="n">
        <v>0</v>
      </c>
      <c r="I7" s="21" t="n">
        <v>1400</v>
      </c>
      <c r="J7" s="26" t="n">
        <f aca="false">G7+H7-I7</f>
        <v>4669.6264</v>
      </c>
      <c r="K7" s="21" t="n">
        <v>4060.531498</v>
      </c>
      <c r="L7" s="21" t="n">
        <v>466.961122</v>
      </c>
      <c r="M7" s="21" t="n">
        <v>302.590807</v>
      </c>
      <c r="N7" s="28" t="n">
        <f aca="false">IFERROR(J7/K7,"")</f>
        <v>1.15000373776192</v>
      </c>
      <c r="O7" s="28" t="n">
        <f aca="false">IF(AND(L7&gt;0,J7/L7&lt;=60,J7&gt;0),J7/L7,"")</f>
        <v>10.0000325080596</v>
      </c>
      <c r="P7" s="28" t="n">
        <f aca="false">IF(AND(M7&gt;0,G7/M7&lt;=100),G7/M7,"")</f>
        <v>20.058859223704</v>
      </c>
      <c r="Q7" s="15" t="n">
        <v>0.0900000000443292</v>
      </c>
    </row>
    <row r="8" customFormat="false" ht="15" hidden="false" customHeight="false" outlineLevel="0" collapsed="false">
      <c r="B8" s="10" t="s">
        <v>143</v>
      </c>
      <c r="C8" s="10" t="s">
        <v>212</v>
      </c>
      <c r="D8" s="18" t="n">
        <v>2025</v>
      </c>
      <c r="E8" s="19" t="n">
        <v>6.17</v>
      </c>
      <c r="F8" s="20" t="n">
        <v>404.8</v>
      </c>
      <c r="G8" s="26" t="n">
        <f aca="false">E8*F8</f>
        <v>2497.616</v>
      </c>
      <c r="H8" s="21" t="n">
        <v>1240</v>
      </c>
      <c r="I8" s="21" t="n">
        <v>2100</v>
      </c>
      <c r="J8" s="26" t="n">
        <f aca="false">G8+H8-I8</f>
        <v>1637.616</v>
      </c>
      <c r="K8" s="21" t="n">
        <v>5193.57881</v>
      </c>
      <c r="L8" s="21" t="n">
        <v>181.775258</v>
      </c>
      <c r="M8" s="21" t="n">
        <v>15.327586</v>
      </c>
      <c r="N8" s="28" t="n">
        <f aca="false">IFERROR(J8/K8,"")</f>
        <v>0.315315519396152</v>
      </c>
      <c r="O8" s="28" t="n">
        <f aca="false">IF(AND(L8&gt;0,J8/L8&lt;=60,J8&gt;0),J8/L8,"")</f>
        <v>9.00901485723651</v>
      </c>
      <c r="P8" s="28" t="str">
        <f aca="false">IF(AND(M8&gt;0,G8/M8&lt;=100),G8/M8,"")</f>
        <v/>
      </c>
      <c r="Q8" s="15" t="n">
        <v>0.00999999998074545</v>
      </c>
    </row>
    <row r="9" customFormat="false" ht="15" hidden="false" customHeight="false" outlineLevel="0" collapsed="false">
      <c r="B9" s="10" t="s">
        <v>144</v>
      </c>
      <c r="C9" s="10" t="s">
        <v>213</v>
      </c>
      <c r="D9" s="18" t="n">
        <v>2025</v>
      </c>
      <c r="E9" s="19" t="n">
        <v>499.94</v>
      </c>
      <c r="F9" s="20" t="n">
        <v>55.2</v>
      </c>
      <c r="G9" s="26" t="n">
        <f aca="false">E9*F9</f>
        <v>27596.688</v>
      </c>
      <c r="H9" s="21" t="n">
        <v>2480</v>
      </c>
      <c r="I9" s="21" t="n">
        <v>875</v>
      </c>
      <c r="J9" s="26" t="n">
        <f aca="false">G9+H9-I9</f>
        <v>29201.688</v>
      </c>
      <c r="K9" s="21" t="n">
        <v>9168.436272</v>
      </c>
      <c r="L9" s="21" t="n">
        <v>2246.266887</v>
      </c>
      <c r="M9" s="21" t="n">
        <v>1578.36021</v>
      </c>
      <c r="N9" s="28" t="n">
        <f aca="false">IFERROR(J9/K9,"")</f>
        <v>3.18502382889225</v>
      </c>
      <c r="O9" s="28" t="n">
        <f aca="false">IF(AND(L9&gt;0,J9/L9&lt;=60,J9&gt;0),J9/L9,"")</f>
        <v>13.0000972587012</v>
      </c>
      <c r="P9" s="28" t="n">
        <f aca="false">IF(AND(M9&gt;0,G9/M9&lt;=100),G9/M9,"")</f>
        <v>17.4844042729638</v>
      </c>
      <c r="Q9" s="15" t="n">
        <v>0.220000000017451</v>
      </c>
    </row>
    <row r="10" customFormat="false" ht="15" hidden="false" customHeight="false" outlineLevel="0" collapsed="false">
      <c r="B10" s="46" t="s">
        <v>137</v>
      </c>
      <c r="C10" s="46" t="s">
        <v>214</v>
      </c>
      <c r="D10" s="47" t="n">
        <v>2025</v>
      </c>
      <c r="E10" s="48" t="n">
        <v>44.17</v>
      </c>
      <c r="F10" s="49" t="n">
        <v>1373.1</v>
      </c>
      <c r="G10" s="50" t="n">
        <f aca="false">E10*F10</f>
        <v>60649.827</v>
      </c>
      <c r="H10" s="51" t="n">
        <v>11780</v>
      </c>
      <c r="I10" s="51" t="n">
        <v>15750</v>
      </c>
      <c r="J10" s="50" t="n">
        <f aca="false">G10+H10-I10</f>
        <v>56679.827</v>
      </c>
      <c r="K10" s="51" t="n">
        <v>39985.815524</v>
      </c>
      <c r="L10" s="51" t="n">
        <v>3798.652474</v>
      </c>
      <c r="M10" s="51" t="n">
        <v>1998.009761</v>
      </c>
      <c r="N10" s="52" t="n">
        <f aca="false">IFERROR(J10/K10,"")</f>
        <v>1.41749833677845</v>
      </c>
      <c r="O10" s="52" t="n">
        <f aca="false">IF(AND(L10&gt;0,J10/L10&lt;=60,J10&gt;0),J10/L10,"")</f>
        <v>14.9210351270475</v>
      </c>
      <c r="P10" s="52" t="n">
        <f aca="false">IF(AND(M10&gt;0,G10/M10&lt;=100),G10/M10,"")</f>
        <v>30.3551204723068</v>
      </c>
      <c r="Q10" s="53" t="n">
        <v>0.069999999982994</v>
      </c>
    </row>
    <row r="12" customFormat="false" ht="15" hidden="false" customHeight="false" outlineLevel="0" collapsed="false">
      <c r="C12" s="22" t="s">
        <v>215</v>
      </c>
      <c r="N12" s="54" t="n">
        <f aca="false">IFERROR(QUARTILE(N5:N9,1),"")</f>
        <v>1.15000373776192</v>
      </c>
      <c r="O12" s="54" t="n">
        <f aca="false">IFERROR(QUARTILE(O5:O9,1),"")</f>
        <v>10.0000325080596</v>
      </c>
      <c r="P12" s="54" t="n">
        <f aca="false">IFERROR(QUARTILE(P5:P9,1),"")</f>
        <v>18.4309161334181</v>
      </c>
      <c r="Q12" s="55" t="n">
        <f aca="false">IFERROR(QUARTILE(Q5:Q9,1),"")</f>
        <v>0.0900000000443292</v>
      </c>
    </row>
    <row r="13" customFormat="false" ht="15" hidden="false" customHeight="false" outlineLevel="0" collapsed="false">
      <c r="C13" s="22" t="s">
        <v>216</v>
      </c>
      <c r="N13" s="54" t="n">
        <f aca="false">IFERROR(MEDIAN(N5:N9),"")</f>
        <v>3.06250255529621</v>
      </c>
      <c r="O13" s="54" t="n">
        <f aca="false">IFERROR(MEDIAN(O5:O9),"")</f>
        <v>12.500010432516</v>
      </c>
      <c r="P13" s="54" t="n">
        <f aca="false">IFERROR(MEDIAN(P5:P9),"")</f>
        <v>19.4026396553035</v>
      </c>
      <c r="Q13" s="55" t="n">
        <f aca="false">IFERROR(MEDIAN(Q5:Q9),"")</f>
        <v>0.2</v>
      </c>
    </row>
    <row r="14" customFormat="false" ht="15" hidden="false" customHeight="false" outlineLevel="0" collapsed="false">
      <c r="C14" s="22" t="s">
        <v>217</v>
      </c>
      <c r="N14" s="54" t="n">
        <f aca="false">IFERROR(QUARTILE(N5:N9,3),"")</f>
        <v>3.14998867394702</v>
      </c>
      <c r="O14" s="54" t="n">
        <f aca="false">IFERROR(QUARTILE(O5:O9,3),"")</f>
        <v>13.0000972587012</v>
      </c>
      <c r="P14" s="54" t="n">
        <f aca="false">IFERROR(QUARTILE(P5:P9,3),"")</f>
        <v>20.0982890457748</v>
      </c>
      <c r="Q14" s="55" t="n">
        <f aca="false">IFERROR(QUARTILE(Q5:Q9,3),"")</f>
        <v>0.220000000008814</v>
      </c>
    </row>
    <row r="16" customFormat="false" ht="15" hidden="false" customHeight="false" outlineLevel="0" collapsed="false">
      <c r="B16" s="9" t="s">
        <v>218</v>
      </c>
    </row>
    <row r="17" customFormat="false" ht="15" hidden="false" customHeight="false" outlineLevel="0" collapsed="false">
      <c r="B17" s="24"/>
      <c r="C17" s="25" t="s">
        <v>219</v>
      </c>
      <c r="D17" s="25" t="s">
        <v>220</v>
      </c>
      <c r="E17" s="25" t="s">
        <v>221</v>
      </c>
      <c r="F17" s="25" t="s">
        <v>222</v>
      </c>
    </row>
    <row r="18" customFormat="false" ht="15" hidden="false" customHeight="false" outlineLevel="0" collapsed="false">
      <c r="C18" s="22" t="s">
        <v>207</v>
      </c>
      <c r="D18" s="44" t="n">
        <f aca="false">IFERROR((O12*L10-(Assumptions!$C$22))/F10,"")</f>
        <v>30.5561490254323</v>
      </c>
      <c r="E18" s="44" t="n">
        <f aca="false">IFERROR((O13*L10-(Assumptions!$C$22))/F10,"")</f>
        <v>37.4722857435749</v>
      </c>
      <c r="F18" s="44" t="n">
        <f aca="false">IFERROR((O14*L10-(Assumptions!$C$22))/F10,"")</f>
        <v>38.8557655043376</v>
      </c>
    </row>
    <row r="19" customFormat="false" ht="15" hidden="false" customHeight="false" outlineLevel="0" collapsed="false">
      <c r="C19" s="22" t="s">
        <v>208</v>
      </c>
      <c r="D19" s="56" t="n">
        <f aca="false">IFERROR(P12*M10/F10,"")</f>
        <v>26.818986482224</v>
      </c>
      <c r="E19" s="56" t="n">
        <f aca="false">IFERROR(P13*M10/F10,"")</f>
        <v>28.2329498364737</v>
      </c>
      <c r="F19" s="56" t="n">
        <f aca="false">IFERROR(P14*M10/F10,"")</f>
        <v>29.2451953192466</v>
      </c>
    </row>
    <row r="20" customFormat="false" ht="15" hidden="false" customHeight="false" outlineLevel="0" collapsed="false">
      <c r="C20" s="22" t="s">
        <v>206</v>
      </c>
      <c r="D20" s="44" t="n">
        <f aca="false">IFERROR((N12*K10-(Assumptions!$C$22))/F10,"")</f>
        <v>36.3803345059053</v>
      </c>
      <c r="E20" s="44" t="n">
        <f aca="false">IFERROR((N13*K10-(Assumptions!$C$22))/F10,"")</f>
        <v>92.0738928103219</v>
      </c>
      <c r="F20" s="44" t="n">
        <f aca="false">IFERROR((N14*K10-(Assumptions!$C$22))/F10,"")</f>
        <v>94.6215614442758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B1" s="13" t="s">
        <v>223</v>
      </c>
    </row>
    <row r="2" customFormat="false" ht="15" hidden="false" customHeight="false" outlineLevel="0" collapsed="false">
      <c r="B2" s="3" t="s">
        <v>224</v>
      </c>
    </row>
    <row r="4" customFormat="false" ht="15" hidden="false" customHeight="false" outlineLevel="0" collapsed="false">
      <c r="B4" s="24" t="s">
        <v>219</v>
      </c>
      <c r="C4" s="25" t="s">
        <v>225</v>
      </c>
      <c r="D4" s="25" t="s">
        <v>226</v>
      </c>
      <c r="E4" s="25" t="s">
        <v>227</v>
      </c>
      <c r="F4" s="25" t="s">
        <v>228</v>
      </c>
      <c r="H4" s="57" t="s">
        <v>229</v>
      </c>
    </row>
    <row r="5" customFormat="false" ht="15" hidden="false" customHeight="false" outlineLevel="0" collapsed="false">
      <c r="B5" s="10" t="s">
        <v>230</v>
      </c>
      <c r="C5" s="19" t="n">
        <v>32.88</v>
      </c>
      <c r="D5" s="19" t="n">
        <v>44.17</v>
      </c>
      <c r="E5" s="56" t="n">
        <f aca="false">IFERROR((C5+D5)/2,"")</f>
        <v>38.525</v>
      </c>
      <c r="F5" s="3" t="s">
        <v>231</v>
      </c>
      <c r="H5" s="10" t="s">
        <v>232</v>
      </c>
      <c r="I5" s="10" t="s">
        <v>233</v>
      </c>
    </row>
    <row r="6" customFormat="false" ht="15" hidden="false" customHeight="false" outlineLevel="0" collapsed="false">
      <c r="B6" s="10" t="s">
        <v>234</v>
      </c>
      <c r="C6" s="44" t="n">
        <f aca="false">Comps!$D$18</f>
        <v>30.5561490254323</v>
      </c>
      <c r="D6" s="44" t="n">
        <f aca="false">Comps!$F$18</f>
        <v>38.8557655043376</v>
      </c>
      <c r="E6" s="56" t="n">
        <f aca="false">IFERROR((C6+D6)/2,"")</f>
        <v>34.705957264885</v>
      </c>
      <c r="F6" s="3" t="s">
        <v>235</v>
      </c>
      <c r="G6" s="58" t="str">
        <f aca="false">B5</f>
        <v>52-week trading range</v>
      </c>
      <c r="H6" s="59" t="n">
        <f aca="false">C5</f>
        <v>32.88</v>
      </c>
      <c r="I6" s="59" t="n">
        <f aca="false">D5-C5</f>
        <v>11.29</v>
      </c>
    </row>
    <row r="7" customFormat="false" ht="15" hidden="false" customHeight="false" outlineLevel="0" collapsed="false">
      <c r="B7" s="10" t="s">
        <v>236</v>
      </c>
      <c r="C7" s="44" t="n">
        <f aca="false">Comps!$D$19</f>
        <v>26.818986482224</v>
      </c>
      <c r="D7" s="44" t="n">
        <f aca="false">Comps!$F$19</f>
        <v>29.2451953192466</v>
      </c>
      <c r="E7" s="56" t="n">
        <f aca="false">IFERROR((C7+D7)/2,"")</f>
        <v>28.0320909007353</v>
      </c>
      <c r="F7" s="3" t="s">
        <v>235</v>
      </c>
      <c r="G7" s="58" t="str">
        <f aca="false">B6</f>
        <v>Trading comps: EV / EBITDA (peer Q1–Q3)</v>
      </c>
      <c r="H7" s="59" t="n">
        <f aca="false">C6</f>
        <v>30.5561490254323</v>
      </c>
      <c r="I7" s="59" t="n">
        <f aca="false">D6-C6</f>
        <v>8.29961647890527</v>
      </c>
    </row>
    <row r="8" customFormat="false" ht="15" hidden="false" customHeight="false" outlineLevel="0" collapsed="false">
      <c r="B8" s="10" t="s">
        <v>237</v>
      </c>
      <c r="C8" s="44" t="n">
        <f aca="false">MIN(Sensitivity!$D$9:$F$11)</f>
        <v>44.7976105885149</v>
      </c>
      <c r="D8" s="44" t="n">
        <f aca="false">MAX(Sensitivity!$D$9:$F$11)</f>
        <v>55.5198632092262</v>
      </c>
      <c r="E8" s="56" t="n">
        <f aca="false">IFERROR((C8+D8)/2,"")</f>
        <v>50.1587368988706</v>
      </c>
      <c r="F8" s="3" t="s">
        <v>238</v>
      </c>
      <c r="G8" s="58" t="str">
        <f aca="false">B7</f>
        <v>Trading comps: P / E (peer Q1–Q3)</v>
      </c>
      <c r="H8" s="59" t="n">
        <f aca="false">C7</f>
        <v>26.818986482224</v>
      </c>
      <c r="I8" s="59" t="n">
        <f aca="false">D7-C7</f>
        <v>2.4262088370226</v>
      </c>
    </row>
    <row r="9" customFormat="false" ht="15" hidden="false" customHeight="false" outlineLevel="0" collapsed="false">
      <c r="B9" s="10" t="s">
        <v>239</v>
      </c>
      <c r="C9" s="44" t="n">
        <f aca="false">MIN(Sensitivity!$D$18:$F$20)</f>
        <v>53.2313109425553</v>
      </c>
      <c r="D9" s="44" t="n">
        <f aca="false">MAX(Sensitivity!$D$18:$F$20)</f>
        <v>62.6343232842347</v>
      </c>
      <c r="E9" s="56" t="n">
        <f aca="false">IFERROR((C9+D9)/2,"")</f>
        <v>57.932817113395</v>
      </c>
      <c r="F9" s="3" t="s">
        <v>238</v>
      </c>
      <c r="G9" s="58" t="str">
        <f aca="false">B8</f>
        <v>DCF: perpetuity growth (WACC ±0.5pp, g ±0.25pp)</v>
      </c>
      <c r="H9" s="59" t="n">
        <f aca="false">C8</f>
        <v>44.7976105885149</v>
      </c>
      <c r="I9" s="59" t="n">
        <f aca="false">D8-C8</f>
        <v>10.7222526207114</v>
      </c>
    </row>
    <row r="10" customFormat="false" ht="15" hidden="false" customHeight="false" outlineLevel="0" collapsed="false">
      <c r="B10" s="10" t="s">
        <v>240</v>
      </c>
      <c r="C10" s="19" t="n">
        <v>32.5538695386067</v>
      </c>
      <c r="D10" s="19" t="n">
        <v>79.7140050909415</v>
      </c>
      <c r="E10" s="56" t="n">
        <f aca="false">IFERROR((C10+D10)/2,"")</f>
        <v>56.1339373147741</v>
      </c>
      <c r="F10" s="3" t="s">
        <v>241</v>
      </c>
      <c r="G10" s="58" t="str">
        <f aca="false">B9</f>
        <v>DCF: exit multiple (WACC ±0.5pp, multiple ±1x)</v>
      </c>
      <c r="H10" s="59" t="n">
        <f aca="false">C9</f>
        <v>53.2313109425553</v>
      </c>
      <c r="I10" s="59" t="n">
        <f aca="false">D9-C9</f>
        <v>9.40301234167934</v>
      </c>
    </row>
    <row r="11" customFormat="false" ht="15" hidden="false" customHeight="false" outlineLevel="0" collapsed="false">
      <c r="G11" s="58" t="str">
        <f aca="false">B10</f>
        <v>Scenarios: bear to bull (DCF snapshot)</v>
      </c>
      <c r="H11" s="59" t="n">
        <f aca="false">C10</f>
        <v>32.5538695386067</v>
      </c>
      <c r="I11" s="59" t="n">
        <f aca="false">D10-C10</f>
        <v>47.1601355523348</v>
      </c>
    </row>
    <row r="12" customFormat="false" ht="15" hidden="false" customHeight="false" outlineLevel="0" collapsed="false">
      <c r="B12" s="9" t="s">
        <v>242</v>
      </c>
    </row>
    <row r="13" customFormat="false" ht="15" hidden="false" customHeight="false" outlineLevel="0" collapsed="false">
      <c r="B13" s="24" t="s">
        <v>243</v>
      </c>
      <c r="C13" s="25" t="s">
        <v>244</v>
      </c>
      <c r="D13" s="25" t="s">
        <v>245</v>
      </c>
      <c r="E13" s="25" t="s">
        <v>246</v>
      </c>
    </row>
    <row r="14" customFormat="false" ht="15" hidden="false" customHeight="false" outlineLevel="0" collapsed="false">
      <c r="B14" s="10" t="s">
        <v>247</v>
      </c>
      <c r="C14" s="44" t="n">
        <f aca="false">DCF!$C$32</f>
        <v>49.528966766693</v>
      </c>
      <c r="D14" s="32" t="n">
        <f aca="false">Assumptions!$C$42</f>
        <v>0.5</v>
      </c>
      <c r="E14" s="56" t="n">
        <f aca="false">IFERROR(C14*D14,0)</f>
        <v>24.7644833833465</v>
      </c>
    </row>
    <row r="15" customFormat="false" ht="15" hidden="false" customHeight="false" outlineLevel="0" collapsed="false">
      <c r="B15" s="10" t="s">
        <v>248</v>
      </c>
      <c r="C15" s="44" t="n">
        <f aca="false">DCF!$C$42</f>
        <v>57.8358827682045</v>
      </c>
      <c r="D15" s="32" t="n">
        <f aca="false">Assumptions!$C$43</f>
        <v>0.25</v>
      </c>
      <c r="E15" s="56" t="n">
        <f aca="false">IFERROR(C15*D15,0)</f>
        <v>14.4589706920511</v>
      </c>
    </row>
    <row r="16" customFormat="false" ht="15" hidden="false" customHeight="false" outlineLevel="0" collapsed="false">
      <c r="B16" s="10" t="s">
        <v>249</v>
      </c>
      <c r="C16" s="44" t="n">
        <f aca="false">Comps!$E$18</f>
        <v>37.4722857435749</v>
      </c>
      <c r="D16" s="32" t="n">
        <f aca="false">Assumptions!$C$44</f>
        <v>0.25</v>
      </c>
      <c r="E16" s="56" t="n">
        <f aca="false">IFERROR(C16*D16,0)</f>
        <v>9.36807143589373</v>
      </c>
    </row>
    <row r="17" customFormat="false" ht="15" hidden="false" customHeight="false" outlineLevel="0" collapsed="false">
      <c r="B17" s="22" t="s">
        <v>250</v>
      </c>
      <c r="C17" s="60" t="n">
        <f aca="false">SUM(E14:E16)/SUMPRODUCT(--ISNUMBER(C14:C16),D14:D16)</f>
        <v>48.5915255112914</v>
      </c>
    </row>
    <row r="18" customFormat="false" ht="15" hidden="false" customHeight="false" outlineLevel="0" collapsed="false">
      <c r="B18" s="10" t="s">
        <v>196</v>
      </c>
      <c r="C18" s="44" t="n">
        <f aca="false">Assumptions!$C$17</f>
        <v>44.17</v>
      </c>
    </row>
    <row r="19" customFormat="false" ht="15" hidden="false" customHeight="false" outlineLevel="0" collapsed="false">
      <c r="B19" s="22" t="s">
        <v>251</v>
      </c>
      <c r="C19" s="33" t="n">
        <f aca="false">C17/C18-1</f>
        <v>0.100102456674017</v>
      </c>
    </row>
    <row r="20" customFormat="false" ht="15" hidden="false" customHeight="false" outlineLevel="0" collapsed="false">
      <c r="B20" s="22" t="s">
        <v>3</v>
      </c>
      <c r="C20" s="61" t="str">
        <f aca="false">IF(C19&gt;Assumptions!$C$45,"BUY",IF(C19&lt;Assumptions!$C$46,"SELL","HOLD"))</f>
        <v>HOLD</v>
      </c>
    </row>
    <row r="22" customFormat="false" ht="15" hidden="false" customHeight="false" outlineLevel="0" collapsed="false">
      <c r="B22" s="9" t="s">
        <v>252</v>
      </c>
    </row>
    <row r="23" customFormat="false" ht="23.85" hidden="false" customHeight="false" outlineLevel="0" collapsed="false">
      <c r="B23" s="24" t="s">
        <v>22</v>
      </c>
      <c r="C23" s="25" t="s">
        <v>181</v>
      </c>
      <c r="D23" s="25" t="s">
        <v>253</v>
      </c>
    </row>
    <row r="24" customFormat="false" ht="15" hidden="false" customHeight="false" outlineLevel="0" collapsed="false">
      <c r="B24" s="10" t="s">
        <v>75</v>
      </c>
      <c r="C24" s="19" t="n">
        <v>32.5538695386067</v>
      </c>
      <c r="D24" s="27" t="n">
        <f aca="false">C24/$C$18-1</f>
        <v>-0.262986879361406</v>
      </c>
    </row>
    <row r="25" customFormat="false" ht="15" hidden="false" customHeight="false" outlineLevel="0" collapsed="false">
      <c r="B25" s="10" t="s">
        <v>74</v>
      </c>
      <c r="C25" s="19" t="n">
        <v>49.528966766693</v>
      </c>
      <c r="D25" s="27" t="n">
        <f aca="false">C25/$C$18-1</f>
        <v>0.121325939929657</v>
      </c>
    </row>
    <row r="26" customFormat="false" ht="15" hidden="false" customHeight="false" outlineLevel="0" collapsed="false">
      <c r="B26" s="10" t="s">
        <v>76</v>
      </c>
      <c r="C26" s="19" t="n">
        <v>79.7140050909415</v>
      </c>
      <c r="D26" s="27" t="n">
        <f aca="false">C26/$C$18-1</f>
        <v>0.804709193818011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J5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2" min="3" style="0" width="13"/>
  </cols>
  <sheetData>
    <row r="1" customFormat="false" ht="17.35" hidden="false" customHeight="false" outlineLevel="0" collapsed="false">
      <c r="B1" s="13" t="s">
        <v>254</v>
      </c>
    </row>
    <row r="2" customFormat="false" ht="15" hidden="false" customHeight="false" outlineLevel="0" collapsed="false">
      <c r="B2" s="3" t="s">
        <v>255</v>
      </c>
    </row>
    <row r="4" customFormat="false" ht="23.85" hidden="false" customHeight="false" outlineLevel="0" collapsed="false">
      <c r="B4" s="24" t="s">
        <v>256</v>
      </c>
      <c r="C4" s="25" t="s">
        <v>137</v>
      </c>
      <c r="D4" s="25" t="s">
        <v>216</v>
      </c>
      <c r="E4" s="25" t="s">
        <v>257</v>
      </c>
      <c r="F4" s="25" t="s">
        <v>258</v>
      </c>
      <c r="G4" s="25" t="s">
        <v>259</v>
      </c>
      <c r="H4" s="25" t="s">
        <v>260</v>
      </c>
    </row>
    <row r="5" customFormat="false" ht="15" hidden="false" customHeight="false" outlineLevel="0" collapsed="false">
      <c r="B5" s="10" t="s">
        <v>60</v>
      </c>
      <c r="C5" s="15" t="n">
        <v>-0.00398406374263816</v>
      </c>
      <c r="D5" s="15" t="n">
        <v>0.0200000000867759</v>
      </c>
      <c r="E5" s="15" t="n">
        <v>0.00999999996020229</v>
      </c>
      <c r="F5" s="15" t="n">
        <v>0.0399999999749849</v>
      </c>
      <c r="G5" s="18" t="n">
        <v>25</v>
      </c>
      <c r="H5" s="62" t="s">
        <v>261</v>
      </c>
    </row>
    <row r="6" customFormat="false" ht="15" hidden="false" customHeight="false" outlineLevel="0" collapsed="false">
      <c r="B6" s="10" t="s">
        <v>262</v>
      </c>
      <c r="C6" s="15" t="n">
        <v>-0.0345106153903459</v>
      </c>
      <c r="D6" s="15" t="n">
        <v>0.0559714179762796</v>
      </c>
      <c r="E6" s="15" t="n">
        <v>0.0126662227530963</v>
      </c>
      <c r="F6" s="15" t="n">
        <v>0.0730416844078652</v>
      </c>
      <c r="G6" s="18" t="n">
        <v>25</v>
      </c>
      <c r="H6" s="62" t="s">
        <v>261</v>
      </c>
    </row>
    <row r="7" customFormat="false" ht="15" hidden="false" customHeight="false" outlineLevel="0" collapsed="false">
      <c r="B7" s="10" t="s">
        <v>121</v>
      </c>
      <c r="C7" s="15" t="n">
        <v>0.439999999985995</v>
      </c>
      <c r="D7" s="15" t="n">
        <v>0.5</v>
      </c>
      <c r="E7" s="15" t="n">
        <v>0.499999999926553</v>
      </c>
      <c r="F7" s="15" t="n">
        <v>0.519999999952009</v>
      </c>
      <c r="G7" s="18" t="n">
        <v>8.33333333333333</v>
      </c>
      <c r="H7" s="62" t="s">
        <v>261</v>
      </c>
    </row>
    <row r="8" customFormat="false" ht="15" hidden="false" customHeight="false" outlineLevel="0" collapsed="false">
      <c r="B8" s="10" t="s">
        <v>62</v>
      </c>
      <c r="C8" s="15" t="n">
        <v>0.069999999982994</v>
      </c>
      <c r="D8" s="15" t="n">
        <v>0.2</v>
      </c>
      <c r="E8" s="15" t="n">
        <v>0.0900000000443292</v>
      </c>
      <c r="F8" s="15" t="n">
        <v>0.220000000008814</v>
      </c>
      <c r="G8" s="18" t="n">
        <v>25</v>
      </c>
      <c r="H8" s="62" t="s">
        <v>261</v>
      </c>
    </row>
    <row r="9" customFormat="false" ht="15" hidden="false" customHeight="false" outlineLevel="0" collapsed="false">
      <c r="B9" s="10" t="s">
        <v>263</v>
      </c>
      <c r="C9" s="15" t="n">
        <v>0.237526173270999</v>
      </c>
      <c r="D9" s="15" t="n">
        <v>0.617531119335779</v>
      </c>
      <c r="E9" s="15" t="n">
        <v>0.269387099388489</v>
      </c>
      <c r="F9" s="15" t="n">
        <v>2.84470011912296</v>
      </c>
      <c r="G9" s="18" t="n">
        <v>30</v>
      </c>
      <c r="H9" s="62" t="s">
        <v>261</v>
      </c>
    </row>
    <row r="10" customFormat="false" ht="15" hidden="false" customHeight="false" outlineLevel="0" collapsed="false">
      <c r="B10" s="10" t="s">
        <v>124</v>
      </c>
      <c r="C10" s="15" t="n">
        <v>0.0549679632688939</v>
      </c>
      <c r="D10" s="15" t="n">
        <v>0.168620000034745</v>
      </c>
      <c r="E10" s="15" t="n">
        <v>0.0795200000687201</v>
      </c>
      <c r="F10" s="15" t="n">
        <v>0.177151516770667</v>
      </c>
      <c r="G10" s="18" t="n">
        <v>25</v>
      </c>
      <c r="H10" s="62" t="s">
        <v>261</v>
      </c>
    </row>
    <row r="11" customFormat="false" ht="15" hidden="false" customHeight="false" outlineLevel="0" collapsed="false">
      <c r="B11" s="10" t="s">
        <v>264</v>
      </c>
      <c r="C11" s="15" t="n">
        <v>1.10006411475184</v>
      </c>
      <c r="D11" s="15" t="n">
        <v>1.03055861177002</v>
      </c>
      <c r="E11" s="15" t="n">
        <v>1.02904418250635</v>
      </c>
      <c r="F11" s="15" t="n">
        <v>1.06709608332549</v>
      </c>
      <c r="G11" s="18" t="n">
        <v>75</v>
      </c>
      <c r="H11" s="63" t="s">
        <v>265</v>
      </c>
    </row>
    <row r="12" customFormat="false" ht="15" hidden="false" customHeight="false" outlineLevel="0" collapsed="false">
      <c r="B12" s="10" t="s">
        <v>126</v>
      </c>
      <c r="C12" s="42" t="n">
        <v>-1.21095573535217</v>
      </c>
      <c r="D12" s="42" t="n">
        <v>-1.3094606285624</v>
      </c>
      <c r="E12" s="42" t="n">
        <v>-3.11803259715484</v>
      </c>
      <c r="F12" s="42" t="n">
        <v>-0.729608079164814</v>
      </c>
      <c r="G12" s="18" t="n">
        <v>41.6666666666667</v>
      </c>
      <c r="H12" s="63" t="s">
        <v>265</v>
      </c>
    </row>
    <row r="13" customFormat="false" ht="15" hidden="false" customHeight="false" outlineLevel="0" collapsed="false">
      <c r="B13" s="10" t="s">
        <v>266</v>
      </c>
      <c r="C13" s="42" t="n">
        <v>6.7887632452098</v>
      </c>
      <c r="D13" s="42" t="n">
        <v>12.2173246313364</v>
      </c>
      <c r="E13" s="42" t="n">
        <v>6.70700088709677</v>
      </c>
      <c r="F13" s="42" t="n">
        <v>17.727648375576</v>
      </c>
      <c r="G13" s="18" t="n">
        <v>50</v>
      </c>
      <c r="H13" s="62" t="s">
        <v>261</v>
      </c>
    </row>
    <row r="14" customFormat="false" ht="15" hidden="false" customHeight="false" outlineLevel="0" collapsed="false">
      <c r="B14" s="10" t="s">
        <v>267</v>
      </c>
      <c r="C14" s="18" t="n">
        <v>109.50000000163</v>
      </c>
      <c r="D14" s="18" t="n">
        <v>109.500000009977</v>
      </c>
      <c r="E14" s="18" t="n">
        <v>109.5</v>
      </c>
      <c r="F14" s="18" t="n">
        <v>109.50000003217</v>
      </c>
      <c r="G14" s="18" t="n">
        <v>58.3333333333333</v>
      </c>
      <c r="H14" s="63" t="s">
        <v>265</v>
      </c>
    </row>
    <row r="15" customFormat="false" ht="15" hidden="false" customHeight="false" outlineLevel="0" collapsed="false">
      <c r="B15" s="10" t="s">
        <v>268</v>
      </c>
      <c r="C15" s="18" t="n">
        <v>80.2999999937407</v>
      </c>
      <c r="D15" s="18" t="n">
        <v>80.3000000208234</v>
      </c>
      <c r="E15" s="18" t="n">
        <v>80.2999999840375</v>
      </c>
      <c r="F15" s="18" t="n">
        <v>80.3000000395515</v>
      </c>
      <c r="G15" s="18" t="n">
        <v>58.3333333333333</v>
      </c>
      <c r="H15" s="63" t="s">
        <v>265</v>
      </c>
    </row>
    <row r="18" customFormat="false" ht="15" hidden="false" customHeight="false" outlineLevel="0" collapsed="false">
      <c r="B18" s="9" t="s">
        <v>269</v>
      </c>
    </row>
    <row r="19" customFormat="false" ht="15" hidden="false" customHeight="false" outlineLevel="0" collapsed="false">
      <c r="B19" s="24" t="s">
        <v>88</v>
      </c>
      <c r="C19" s="25" t="s">
        <v>90</v>
      </c>
      <c r="D19" s="25" t="s">
        <v>91</v>
      </c>
      <c r="E19" s="25" t="s">
        <v>92</v>
      </c>
      <c r="F19" s="25" t="s">
        <v>93</v>
      </c>
      <c r="G19" s="25" t="s">
        <v>94</v>
      </c>
      <c r="H19" s="25" t="s">
        <v>95</v>
      </c>
      <c r="I19" s="25" t="s">
        <v>96</v>
      </c>
    </row>
    <row r="20" customFormat="false" ht="15" hidden="false" customHeight="false" outlineLevel="0" collapsed="false">
      <c r="B20" s="22" t="s">
        <v>137</v>
      </c>
      <c r="C20" s="15" t="n">
        <v>-0.05</v>
      </c>
      <c r="D20" s="15" t="n">
        <v>0.19</v>
      </c>
      <c r="E20" s="15" t="n">
        <v>0.05</v>
      </c>
      <c r="F20" s="15" t="n">
        <v>0.1</v>
      </c>
      <c r="G20" s="15" t="n">
        <v>0</v>
      </c>
      <c r="H20" s="15" t="n">
        <v>-0.0963999999908618</v>
      </c>
      <c r="I20" s="15" t="n">
        <v>-0.00398406374263816</v>
      </c>
    </row>
    <row r="21" customFormat="false" ht="15" hidden="false" customHeight="false" outlineLevel="0" collapsed="false">
      <c r="B21" s="10" t="s">
        <v>216</v>
      </c>
      <c r="C21" s="15" t="n">
        <v>0.11</v>
      </c>
      <c r="D21" s="15" t="n">
        <v>0.05</v>
      </c>
      <c r="E21" s="15" t="n">
        <v>0.27</v>
      </c>
      <c r="F21" s="15" t="n">
        <v>0.14000000011493</v>
      </c>
      <c r="G21" s="15" t="n">
        <v>0.100000000014859</v>
      </c>
      <c r="H21" s="15" t="n">
        <v>0.0399999999861158</v>
      </c>
      <c r="I21" s="15" t="n">
        <v>0.0200000000867759</v>
      </c>
    </row>
    <row r="22" customFormat="false" ht="15" hidden="false" customHeight="false" outlineLevel="0" collapsed="false">
      <c r="B22" s="10" t="s">
        <v>257</v>
      </c>
      <c r="C22" s="15" t="n">
        <v>0.0800000000000001</v>
      </c>
      <c r="D22" s="15" t="n">
        <v>-0.1</v>
      </c>
      <c r="E22" s="15" t="n">
        <v>0.25</v>
      </c>
      <c r="F22" s="15" t="n">
        <v>0.1</v>
      </c>
      <c r="G22" s="15" t="n">
        <v>0.0600000000000001</v>
      </c>
      <c r="H22" s="15" t="n">
        <v>-0.0300000000193019</v>
      </c>
      <c r="I22" s="15" t="n">
        <v>0.00999999996020229</v>
      </c>
    </row>
    <row r="23" customFormat="false" ht="15" hidden="false" customHeight="false" outlineLevel="0" collapsed="false">
      <c r="B23" s="10" t="s">
        <v>258</v>
      </c>
      <c r="C23" s="15" t="n">
        <v>0.12</v>
      </c>
      <c r="D23" s="15" t="n">
        <v>0.38</v>
      </c>
      <c r="E23" s="15" t="n">
        <v>0.3</v>
      </c>
      <c r="F23" s="15" t="n">
        <v>0.19</v>
      </c>
      <c r="G23" s="15" t="n">
        <v>0.109999999974314</v>
      </c>
      <c r="H23" s="15" t="n">
        <v>0.0800000000081049</v>
      </c>
      <c r="I23" s="15" t="n">
        <v>0.0399999999749849</v>
      </c>
    </row>
    <row r="25" customFormat="false" ht="15" hidden="false" customHeight="false" outlineLevel="0" collapsed="false">
      <c r="B25" s="9" t="s">
        <v>270</v>
      </c>
    </row>
    <row r="26" customFormat="false" ht="15" hidden="false" customHeight="false" outlineLevel="0" collapsed="false">
      <c r="B26" s="24" t="s">
        <v>88</v>
      </c>
      <c r="C26" s="25" t="s">
        <v>89</v>
      </c>
      <c r="D26" s="25" t="s">
        <v>90</v>
      </c>
      <c r="E26" s="25" t="s">
        <v>91</v>
      </c>
      <c r="F26" s="25" t="s">
        <v>92</v>
      </c>
      <c r="G26" s="25" t="s">
        <v>93</v>
      </c>
      <c r="H26" s="25" t="s">
        <v>94</v>
      </c>
      <c r="I26" s="25" t="s">
        <v>95</v>
      </c>
      <c r="J26" s="25" t="s">
        <v>96</v>
      </c>
    </row>
    <row r="27" customFormat="false" ht="15" hidden="false" customHeight="false" outlineLevel="0" collapsed="false">
      <c r="B27" s="22" t="s">
        <v>137</v>
      </c>
      <c r="C27" s="15" t="n">
        <v>0.44</v>
      </c>
      <c r="D27" s="15" t="n">
        <v>0.44</v>
      </c>
      <c r="E27" s="15" t="n">
        <v>0.44</v>
      </c>
      <c r="F27" s="15" t="n">
        <v>0.44</v>
      </c>
      <c r="G27" s="15" t="n">
        <v>0.440000000009003</v>
      </c>
      <c r="H27" s="15" t="n">
        <v>0.440000000009003</v>
      </c>
      <c r="I27" s="15" t="n">
        <v>0.43824701193929</v>
      </c>
      <c r="J27" s="15" t="n">
        <v>0.439999999985995</v>
      </c>
    </row>
    <row r="28" customFormat="false" ht="15" hidden="false" customHeight="false" outlineLevel="0" collapsed="false">
      <c r="B28" s="10" t="s">
        <v>216</v>
      </c>
      <c r="C28" s="15" t="n">
        <v>0.5</v>
      </c>
      <c r="D28" s="15" t="n">
        <v>0.5</v>
      </c>
      <c r="E28" s="15" t="n">
        <v>0.5</v>
      </c>
      <c r="F28" s="15" t="n">
        <v>0.5</v>
      </c>
      <c r="G28" s="15" t="n">
        <v>0.500000000109583</v>
      </c>
      <c r="H28" s="15" t="n">
        <v>0.5</v>
      </c>
      <c r="I28" s="15" t="n">
        <v>0.5</v>
      </c>
      <c r="J28" s="15" t="n">
        <v>0.5</v>
      </c>
    </row>
    <row r="29" customFormat="false" ht="15" hidden="false" customHeight="false" outlineLevel="0" collapsed="false">
      <c r="B29" s="10" t="s">
        <v>257</v>
      </c>
      <c r="C29" s="15" t="n">
        <v>0.5</v>
      </c>
      <c r="D29" s="15" t="n">
        <v>0.5</v>
      </c>
      <c r="E29" s="15" t="n">
        <v>0.5</v>
      </c>
      <c r="F29" s="15" t="n">
        <v>0.499999999875076</v>
      </c>
      <c r="G29" s="15" t="n">
        <v>0.5</v>
      </c>
      <c r="H29" s="15" t="n">
        <v>0.5</v>
      </c>
      <c r="I29" s="15" t="n">
        <v>0.499999999919942</v>
      </c>
      <c r="J29" s="15" t="n">
        <v>0.499999999926553</v>
      </c>
    </row>
    <row r="30" customFormat="false" ht="15" hidden="false" customHeight="false" outlineLevel="0" collapsed="false">
      <c r="B30" s="10" t="s">
        <v>258</v>
      </c>
      <c r="C30" s="15" t="n">
        <v>0.52</v>
      </c>
      <c r="D30" s="15" t="n">
        <v>0.52</v>
      </c>
      <c r="E30" s="15" t="n">
        <v>0.52</v>
      </c>
      <c r="F30" s="15" t="n">
        <v>0.520000000077057</v>
      </c>
      <c r="G30" s="15" t="n">
        <v>0.519999999948629</v>
      </c>
      <c r="H30" s="15" t="n">
        <v>0.520000000050909</v>
      </c>
      <c r="I30" s="15" t="n">
        <v>0.52000000003115</v>
      </c>
      <c r="J30" s="15" t="n">
        <v>0.519999999952009</v>
      </c>
    </row>
    <row r="32" customFormat="false" ht="15" hidden="false" customHeight="false" outlineLevel="0" collapsed="false">
      <c r="B32" s="9" t="s">
        <v>271</v>
      </c>
    </row>
    <row r="33" customFormat="false" ht="15" hidden="false" customHeight="false" outlineLevel="0" collapsed="false">
      <c r="B33" s="24" t="s">
        <v>88</v>
      </c>
      <c r="C33" s="25" t="s">
        <v>89</v>
      </c>
      <c r="D33" s="25" t="s">
        <v>90</v>
      </c>
      <c r="E33" s="25" t="s">
        <v>91</v>
      </c>
      <c r="F33" s="25" t="s">
        <v>92</v>
      </c>
      <c r="G33" s="25" t="s">
        <v>93</v>
      </c>
      <c r="H33" s="25" t="s">
        <v>94</v>
      </c>
      <c r="I33" s="25" t="s">
        <v>95</v>
      </c>
      <c r="J33" s="25" t="s">
        <v>96</v>
      </c>
    </row>
    <row r="34" customFormat="false" ht="15" hidden="false" customHeight="false" outlineLevel="0" collapsed="false">
      <c r="B34" s="22" t="s">
        <v>137</v>
      </c>
      <c r="C34" s="15" t="n">
        <v>0.13</v>
      </c>
      <c r="D34" s="15" t="n">
        <v>0.1</v>
      </c>
      <c r="E34" s="15" t="n">
        <v>0.16</v>
      </c>
      <c r="F34" s="15" t="n">
        <v>0.14</v>
      </c>
      <c r="G34" s="15" t="n">
        <v>0.120000000004502</v>
      </c>
      <c r="H34" s="15" t="n">
        <v>0.120000000004502</v>
      </c>
      <c r="I34" s="15" t="n">
        <v>0.0796812749025817</v>
      </c>
      <c r="J34" s="15" t="n">
        <v>0.069999999982994</v>
      </c>
    </row>
    <row r="35" customFormat="false" ht="15" hidden="false" customHeight="false" outlineLevel="0" collapsed="false">
      <c r="B35" s="10" t="s">
        <v>216</v>
      </c>
      <c r="C35" s="15" t="n">
        <v>0.14</v>
      </c>
      <c r="D35" s="15" t="n">
        <v>0.15</v>
      </c>
      <c r="E35" s="15" t="n">
        <v>0.189999999905657</v>
      </c>
      <c r="F35" s="15" t="n">
        <v>0.180000000004997</v>
      </c>
      <c r="G35" s="15" t="n">
        <v>0.179999999995617</v>
      </c>
      <c r="H35" s="15" t="n">
        <v>0.209999999981427</v>
      </c>
      <c r="I35" s="15" t="n">
        <v>0.219999999987492</v>
      </c>
      <c r="J35" s="15" t="n">
        <v>0.2</v>
      </c>
    </row>
    <row r="36" customFormat="false" ht="15" hidden="false" customHeight="false" outlineLevel="0" collapsed="false">
      <c r="B36" s="10" t="s">
        <v>257</v>
      </c>
      <c r="C36" s="15" t="n">
        <v>0.11</v>
      </c>
      <c r="D36" s="15" t="n">
        <v>0.12</v>
      </c>
      <c r="E36" s="15" t="n">
        <v>0.07</v>
      </c>
      <c r="F36" s="15" t="n">
        <v>0.13</v>
      </c>
      <c r="G36" s="15" t="n">
        <v>0.12</v>
      </c>
      <c r="H36" s="15" t="n">
        <v>0.0999999999034905</v>
      </c>
      <c r="I36" s="15" t="n">
        <v>0.0899999998905562</v>
      </c>
      <c r="J36" s="15" t="n">
        <v>0.0900000000443292</v>
      </c>
    </row>
    <row r="37" customFormat="false" ht="15" hidden="false" customHeight="false" outlineLevel="0" collapsed="false">
      <c r="B37" s="10" t="s">
        <v>258</v>
      </c>
      <c r="C37" s="15" t="n">
        <v>0.16</v>
      </c>
      <c r="D37" s="15" t="n">
        <v>0.18</v>
      </c>
      <c r="E37" s="15" t="n">
        <v>0.22</v>
      </c>
      <c r="F37" s="15" t="n">
        <v>0.21</v>
      </c>
      <c r="G37" s="15" t="n">
        <v>0.219999999988113</v>
      </c>
      <c r="H37" s="15" t="n">
        <v>0.229999999997974</v>
      </c>
      <c r="I37" s="15" t="n">
        <v>0.229999999934353</v>
      </c>
      <c r="J37" s="15" t="n">
        <v>0.220000000008814</v>
      </c>
    </row>
    <row r="39" customFormat="false" ht="15" hidden="false" customHeight="false" outlineLevel="0" collapsed="false">
      <c r="B39" s="9" t="s">
        <v>272</v>
      </c>
    </row>
    <row r="40" customFormat="false" ht="15" hidden="false" customHeight="false" outlineLevel="0" collapsed="false">
      <c r="B40" s="24" t="s">
        <v>88</v>
      </c>
      <c r="C40" s="25" t="s">
        <v>89</v>
      </c>
      <c r="D40" s="25" t="s">
        <v>90</v>
      </c>
      <c r="E40" s="25" t="s">
        <v>91</v>
      </c>
      <c r="F40" s="25" t="s">
        <v>92</v>
      </c>
      <c r="G40" s="25" t="s">
        <v>93</v>
      </c>
      <c r="H40" s="25" t="s">
        <v>94</v>
      </c>
      <c r="I40" s="25" t="s">
        <v>95</v>
      </c>
      <c r="J40" s="25" t="s">
        <v>96</v>
      </c>
    </row>
    <row r="41" customFormat="false" ht="15" hidden="false" customHeight="false" outlineLevel="0" collapsed="false">
      <c r="B41" s="22" t="s">
        <v>137</v>
      </c>
      <c r="C41" s="15" t="n">
        <v>0.380794953821301</v>
      </c>
      <c r="D41" s="15" t="n">
        <v>0.292176304466754</v>
      </c>
      <c r="E41" s="15" t="n">
        <v>0.52818515124126</v>
      </c>
      <c r="F41" s="15" t="n">
        <v>0.434149025363677</v>
      </c>
      <c r="G41" s="15" t="n">
        <v>0.382394773744962</v>
      </c>
      <c r="H41" s="15" t="n">
        <v>0.369098593634329</v>
      </c>
      <c r="I41" s="15" t="n">
        <v>0.243922967549123</v>
      </c>
      <c r="J41" s="15" t="n">
        <v>0.237526173270999</v>
      </c>
    </row>
    <row r="42" customFormat="false" ht="15" hidden="false" customHeight="false" outlineLevel="0" collapsed="false">
      <c r="B42" s="10" t="s">
        <v>216</v>
      </c>
      <c r="C42" s="15" t="n">
        <v>0.128163311242953</v>
      </c>
      <c r="D42" s="15" t="n">
        <v>0.18225848530666</v>
      </c>
      <c r="E42" s="15" t="n">
        <v>0.228764940540678</v>
      </c>
      <c r="F42" s="15" t="n">
        <v>0.388465433037513</v>
      </c>
      <c r="G42" s="15" t="n">
        <v>0.826765033075279</v>
      </c>
      <c r="H42" s="15" t="n">
        <v>0.760537963954583</v>
      </c>
      <c r="I42" s="15" t="n">
        <v>0.697169294786676</v>
      </c>
      <c r="J42" s="15" t="n">
        <v>0.617531119335779</v>
      </c>
    </row>
    <row r="43" customFormat="false" ht="15" hidden="false" customHeight="false" outlineLevel="0" collapsed="false">
      <c r="B43" s="10" t="s">
        <v>257</v>
      </c>
      <c r="C43" s="15" t="n">
        <v>0.115947853663003</v>
      </c>
      <c r="D43" s="15" t="n">
        <v>0.180107213570579</v>
      </c>
      <c r="E43" s="15" t="n">
        <v>0.0301412815188807</v>
      </c>
      <c r="F43" s="15" t="n">
        <v>0.343953995831339</v>
      </c>
      <c r="G43" s="15" t="n">
        <v>0.362415232484819</v>
      </c>
      <c r="H43" s="15" t="n">
        <v>0.328280022325797</v>
      </c>
      <c r="I43" s="15" t="n">
        <v>0.303481469053105</v>
      </c>
      <c r="J43" s="15" t="n">
        <v>0.269387099388489</v>
      </c>
    </row>
    <row r="44" customFormat="false" ht="15" hidden="false" customHeight="false" outlineLevel="0" collapsed="false">
      <c r="B44" s="10" t="s">
        <v>258</v>
      </c>
      <c r="C44" s="15" t="n">
        <v>0.140378768822904</v>
      </c>
      <c r="D44" s="15" t="n">
        <v>0.18440975704274</v>
      </c>
      <c r="E44" s="15" t="n">
        <v>2.04703889399316</v>
      </c>
      <c r="F44" s="15" t="n">
        <v>0.988767980552464</v>
      </c>
      <c r="G44" s="15" t="n">
        <v>3.86444117458812</v>
      </c>
      <c r="H44" s="15" t="n">
        <v>1.8450721449136</v>
      </c>
      <c r="I44" s="15" t="n">
        <v>2.20195765763405</v>
      </c>
      <c r="J44" s="15" t="n">
        <v>2.84470011912296</v>
      </c>
    </row>
    <row r="46" customFormat="false" ht="15" hidden="false" customHeight="false" outlineLevel="0" collapsed="false">
      <c r="B46" s="9" t="s">
        <v>273</v>
      </c>
    </row>
    <row r="47" customFormat="false" ht="15" hidden="false" customHeight="false" outlineLevel="0" collapsed="false">
      <c r="B47" s="24" t="s">
        <v>88</v>
      </c>
      <c r="C47" s="25" t="s">
        <v>89</v>
      </c>
      <c r="D47" s="25" t="s">
        <v>90</v>
      </c>
      <c r="E47" s="25" t="s">
        <v>91</v>
      </c>
      <c r="F47" s="25" t="s">
        <v>92</v>
      </c>
      <c r="G47" s="25" t="s">
        <v>93</v>
      </c>
      <c r="H47" s="25" t="s">
        <v>94</v>
      </c>
      <c r="I47" s="25" t="s">
        <v>95</v>
      </c>
      <c r="J47" s="25" t="s">
        <v>96</v>
      </c>
    </row>
    <row r="48" customFormat="false" ht="15" hidden="false" customHeight="false" outlineLevel="0" collapsed="false">
      <c r="B48" s="22" t="s">
        <v>137</v>
      </c>
      <c r="C48" s="15" t="n">
        <v>0.103767271204373</v>
      </c>
      <c r="D48" s="15" t="n">
        <v>0.0787882242990654</v>
      </c>
      <c r="E48" s="15" t="n">
        <v>0.128588292746866</v>
      </c>
      <c r="F48" s="15" t="n">
        <v>0.112551662632341</v>
      </c>
      <c r="G48" s="15" t="n">
        <v>0.0968487435556755</v>
      </c>
      <c r="H48" s="15" t="n">
        <v>0.0966668846913558</v>
      </c>
      <c r="I48" s="15" t="n">
        <v>0.0630179568279141</v>
      </c>
      <c r="J48" s="15" t="n">
        <v>0.0549679632688939</v>
      </c>
    </row>
    <row r="49" customFormat="false" ht="15" hidden="false" customHeight="false" outlineLevel="0" collapsed="false">
      <c r="B49" s="10" t="s">
        <v>216</v>
      </c>
      <c r="C49" s="15" t="n">
        <v>0.115051013484124</v>
      </c>
      <c r="D49" s="15" t="n">
        <v>0.128119999970707</v>
      </c>
      <c r="E49" s="15" t="n">
        <v>0.160519999944998</v>
      </c>
      <c r="F49" s="15" t="n">
        <v>0.152420000186232</v>
      </c>
      <c r="G49" s="15" t="n">
        <v>0.152420000074433</v>
      </c>
      <c r="H49" s="15" t="n">
        <v>0.176719999977861</v>
      </c>
      <c r="I49" s="15" t="n">
        <v>0.184819999984478</v>
      </c>
      <c r="J49" s="15" t="n">
        <v>0.168620000034745</v>
      </c>
    </row>
    <row r="50" customFormat="false" ht="15" hidden="false" customHeight="false" outlineLevel="0" collapsed="false">
      <c r="B50" s="10" t="s">
        <v>257</v>
      </c>
      <c r="C50" s="15" t="n">
        <v>0.0957199998544142</v>
      </c>
      <c r="D50" s="15" t="n">
        <v>0.103819999886063</v>
      </c>
      <c r="E50" s="15" t="n">
        <v>0.0633199999212289</v>
      </c>
      <c r="F50" s="15" t="n">
        <v>0.111920000090024</v>
      </c>
      <c r="G50" s="15" t="n">
        <v>0.103819999997954</v>
      </c>
      <c r="H50" s="15" t="n">
        <v>0.0876199999296252</v>
      </c>
      <c r="I50" s="15" t="n">
        <v>0.0795200000655867</v>
      </c>
      <c r="J50" s="15" t="n">
        <v>0.0795200000687201</v>
      </c>
    </row>
    <row r="51" customFormat="false" ht="15" hidden="false" customHeight="false" outlineLevel="0" collapsed="false">
      <c r="B51" s="10" t="s">
        <v>258</v>
      </c>
      <c r="C51" s="15" t="n">
        <v>0.120019999824239</v>
      </c>
      <c r="D51" s="15" t="n">
        <v>0.132968608245821</v>
      </c>
      <c r="E51" s="15" t="n">
        <v>0.165770568503609</v>
      </c>
      <c r="F51" s="15" t="n">
        <v>0.17671999997666</v>
      </c>
      <c r="G51" s="15" t="n">
        <v>0.184820000005872</v>
      </c>
      <c r="H51" s="15" t="n">
        <v>0.192919999998371</v>
      </c>
      <c r="I51" s="15" t="n">
        <v>0.192919999955546</v>
      </c>
      <c r="J51" s="15" t="n">
        <v>0.177151516770667</v>
      </c>
    </row>
    <row r="53" customFormat="false" ht="15" hidden="false" customHeight="false" outlineLevel="0" collapsed="false">
      <c r="B53" s="9" t="s">
        <v>274</v>
      </c>
    </row>
    <row r="54" customFormat="false" ht="15" hidden="false" customHeight="false" outlineLevel="0" collapsed="false">
      <c r="B54" s="24" t="s">
        <v>88</v>
      </c>
      <c r="C54" s="25" t="s">
        <v>89</v>
      </c>
      <c r="D54" s="25" t="s">
        <v>90</v>
      </c>
      <c r="E54" s="25" t="s">
        <v>91</v>
      </c>
      <c r="F54" s="25" t="s">
        <v>92</v>
      </c>
      <c r="G54" s="25" t="s">
        <v>93</v>
      </c>
      <c r="H54" s="25" t="s">
        <v>94</v>
      </c>
      <c r="I54" s="25" t="s">
        <v>95</v>
      </c>
      <c r="J54" s="25" t="s">
        <v>96</v>
      </c>
    </row>
    <row r="55" customFormat="false" ht="15" hidden="false" customHeight="false" outlineLevel="0" collapsed="false">
      <c r="B55" s="22" t="s">
        <v>137</v>
      </c>
      <c r="C55" s="42" t="n">
        <v>-0.474020815202037</v>
      </c>
      <c r="D55" s="42" t="n">
        <v>-0.692968534897462</v>
      </c>
      <c r="E55" s="42" t="n">
        <v>-0.435620692503109</v>
      </c>
      <c r="F55" s="42" t="n">
        <v>-0.510180916249564</v>
      </c>
      <c r="G55" s="42" t="n">
        <v>-0.574341599378502</v>
      </c>
      <c r="H55" s="42" t="n">
        <v>-0.620909837165948</v>
      </c>
      <c r="I55" s="42" t="n">
        <v>-1.02417270764419</v>
      </c>
      <c r="J55" s="42" t="n">
        <v>-1.21095573535217</v>
      </c>
    </row>
    <row r="56" customFormat="false" ht="15" hidden="false" customHeight="false" outlineLevel="0" collapsed="false">
      <c r="B56" s="10" t="s">
        <v>216</v>
      </c>
      <c r="C56" s="42" t="n">
        <v>-2.10442517695516</v>
      </c>
      <c r="D56" s="42" t="n">
        <v>-1.6010387226835</v>
      </c>
      <c r="E56" s="42" t="n">
        <v>-1.75602327316506</v>
      </c>
      <c r="F56" s="42" t="n">
        <v>-1.34224207480753</v>
      </c>
      <c r="G56" s="42" t="n">
        <v>-1.75601455673729</v>
      </c>
      <c r="H56" s="42" t="n">
        <v>-1.60284110319371</v>
      </c>
      <c r="I56" s="42" t="n">
        <v>-1.32236266688389</v>
      </c>
      <c r="J56" s="42" t="n">
        <v>-1.3094606285624</v>
      </c>
    </row>
    <row r="57" customFormat="false" ht="15" hidden="false" customHeight="false" outlineLevel="0" collapsed="false">
      <c r="B57" s="10" t="s">
        <v>257</v>
      </c>
      <c r="C57" s="42" t="n">
        <v>-2.94406915650801</v>
      </c>
      <c r="D57" s="42" t="n">
        <v>-2.49700446771723</v>
      </c>
      <c r="E57" s="42" t="n">
        <v>-2.95182741399121</v>
      </c>
      <c r="F57" s="42" t="n">
        <v>-2.26512233239647</v>
      </c>
      <c r="G57" s="42" t="n">
        <v>-2.08474595585665</v>
      </c>
      <c r="H57" s="42" t="n">
        <v>-2.53823922494626</v>
      </c>
      <c r="I57" s="42" t="n">
        <v>-3.03674103665653</v>
      </c>
      <c r="J57" s="42" t="n">
        <v>-3.11803259715484</v>
      </c>
    </row>
    <row r="58" customFormat="false" ht="15" hidden="false" customHeight="false" outlineLevel="0" collapsed="false">
      <c r="B58" s="10" t="s">
        <v>258</v>
      </c>
      <c r="C58" s="42" t="n">
        <v>-1.72522750252781</v>
      </c>
      <c r="D58" s="42" t="n">
        <v>-1.55590372981677</v>
      </c>
      <c r="E58" s="42" t="n">
        <v>-0.338452463909041</v>
      </c>
      <c r="F58" s="42" t="n">
        <v>-0.880347716219562</v>
      </c>
      <c r="G58" s="42" t="n">
        <v>-0.739158925477984</v>
      </c>
      <c r="H58" s="42" t="n">
        <v>-0.671435629827049</v>
      </c>
      <c r="I58" s="42" t="n">
        <v>-0.671962659515148</v>
      </c>
      <c r="J58" s="42" t="n">
        <v>-0.729608079164814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I2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9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17.35" hidden="false" customHeight="false" outlineLevel="0" collapsed="false">
      <c r="B1" s="13" t="s">
        <v>275</v>
      </c>
    </row>
    <row r="2" customFormat="false" ht="15" hidden="false" customHeight="false" outlineLevel="0" collapsed="false">
      <c r="B2" s="3" t="s">
        <v>276</v>
      </c>
    </row>
    <row r="4" customFormat="false" ht="15" hidden="false" customHeight="false" outlineLevel="0" collapsed="false">
      <c r="B4" s="24" t="s">
        <v>277</v>
      </c>
      <c r="C4" s="25" t="s">
        <v>200</v>
      </c>
      <c r="D4" s="25" t="s">
        <v>278</v>
      </c>
      <c r="E4" s="25" t="s">
        <v>279</v>
      </c>
      <c r="F4" s="25" t="s">
        <v>280</v>
      </c>
      <c r="G4" s="25" t="s">
        <v>281</v>
      </c>
      <c r="H4" s="25" t="s">
        <v>282</v>
      </c>
      <c r="I4" s="25" t="s">
        <v>283</v>
      </c>
    </row>
    <row r="5" customFormat="false" ht="15" hidden="false" customHeight="false" outlineLevel="0" collapsed="false">
      <c r="B5" s="10" t="s">
        <v>112</v>
      </c>
      <c r="C5" s="18" t="n">
        <v>2018</v>
      </c>
      <c r="D5" s="10" t="s">
        <v>284</v>
      </c>
      <c r="E5" s="64" t="n">
        <v>1008.196551</v>
      </c>
      <c r="F5" s="10" t="s">
        <v>285</v>
      </c>
      <c r="G5" s="10" t="s">
        <v>286</v>
      </c>
      <c r="H5" s="65" t="s">
        <v>287</v>
      </c>
      <c r="I5" s="10" t="s">
        <v>288</v>
      </c>
    </row>
    <row r="6" customFormat="false" ht="15" hidden="false" customHeight="false" outlineLevel="0" collapsed="false">
      <c r="B6" s="10" t="s">
        <v>112</v>
      </c>
      <c r="C6" s="18" t="n">
        <v>2019</v>
      </c>
      <c r="D6" s="10" t="s">
        <v>289</v>
      </c>
      <c r="E6" s="64" t="n">
        <v>715.554664</v>
      </c>
      <c r="F6" s="10" t="s">
        <v>285</v>
      </c>
      <c r="G6" s="10" t="s">
        <v>286</v>
      </c>
      <c r="H6" s="65" t="s">
        <v>290</v>
      </c>
      <c r="I6" s="10" t="s">
        <v>291</v>
      </c>
    </row>
    <row r="7" customFormat="false" ht="15" hidden="false" customHeight="false" outlineLevel="0" collapsed="false">
      <c r="B7" s="10" t="s">
        <v>112</v>
      </c>
      <c r="C7" s="18" t="n">
        <v>2020</v>
      </c>
      <c r="D7" s="10" t="s">
        <v>292</v>
      </c>
      <c r="E7" s="64" t="n">
        <v>1426.198752</v>
      </c>
      <c r="F7" s="10" t="s">
        <v>285</v>
      </c>
      <c r="G7" s="10" t="s">
        <v>286</v>
      </c>
      <c r="H7" s="65" t="s">
        <v>293</v>
      </c>
      <c r="I7" s="10" t="s">
        <v>294</v>
      </c>
    </row>
    <row r="8" customFormat="false" ht="15" hidden="false" customHeight="false" outlineLevel="0" collapsed="false">
      <c r="B8" s="10" t="s">
        <v>112</v>
      </c>
      <c r="C8" s="18" t="n">
        <v>2021</v>
      </c>
      <c r="D8" s="10" t="s">
        <v>295</v>
      </c>
      <c r="E8" s="64" t="n">
        <v>1303.194225</v>
      </c>
      <c r="F8" s="10" t="s">
        <v>285</v>
      </c>
      <c r="G8" s="10" t="s">
        <v>286</v>
      </c>
      <c r="H8" s="65" t="s">
        <v>296</v>
      </c>
      <c r="I8" s="10" t="s">
        <v>297</v>
      </c>
    </row>
    <row r="9" customFormat="false" ht="15" hidden="false" customHeight="false" outlineLevel="0" collapsed="false">
      <c r="B9" s="10" t="s">
        <v>112</v>
      </c>
      <c r="C9" s="18" t="n">
        <v>2022</v>
      </c>
      <c r="D9" s="10" t="s">
        <v>298</v>
      </c>
      <c r="E9" s="64" t="n">
        <v>1224.215638</v>
      </c>
      <c r="F9" s="10" t="s">
        <v>285</v>
      </c>
      <c r="G9" s="10" t="s">
        <v>286</v>
      </c>
      <c r="H9" s="65" t="s">
        <v>299</v>
      </c>
      <c r="I9" s="10" t="s">
        <v>300</v>
      </c>
    </row>
    <row r="10" customFormat="false" ht="15" hidden="false" customHeight="false" outlineLevel="0" collapsed="false">
      <c r="B10" s="10" t="s">
        <v>112</v>
      </c>
      <c r="C10" s="18" t="n">
        <v>2023</v>
      </c>
      <c r="D10" s="10" t="s">
        <v>301</v>
      </c>
      <c r="E10" s="64" t="n">
        <v>1221.791713</v>
      </c>
      <c r="F10" s="10" t="s">
        <v>285</v>
      </c>
      <c r="G10" s="10" t="s">
        <v>286</v>
      </c>
      <c r="H10" s="65" t="s">
        <v>302</v>
      </c>
      <c r="I10" s="10" t="s">
        <v>303</v>
      </c>
    </row>
    <row r="11" customFormat="false" ht="15" hidden="false" customHeight="false" outlineLevel="0" collapsed="false">
      <c r="B11" s="10" t="s">
        <v>112</v>
      </c>
      <c r="C11" s="18" t="n">
        <v>2024</v>
      </c>
      <c r="D11" s="10" t="s">
        <v>304</v>
      </c>
      <c r="E11" s="64" t="n">
        <v>698.992385</v>
      </c>
      <c r="F11" s="10" t="s">
        <v>285</v>
      </c>
      <c r="G11" s="10" t="s">
        <v>286</v>
      </c>
      <c r="H11" s="65" t="s">
        <v>302</v>
      </c>
      <c r="I11" s="10" t="s">
        <v>303</v>
      </c>
    </row>
    <row r="12" customFormat="false" ht="15" hidden="false" customHeight="false" outlineLevel="0" collapsed="false">
      <c r="B12" s="10" t="s">
        <v>112</v>
      </c>
      <c r="C12" s="18" t="n">
        <v>2025</v>
      </c>
      <c r="D12" s="10" t="s">
        <v>305</v>
      </c>
      <c r="E12" s="64" t="n">
        <v>599.402928</v>
      </c>
      <c r="F12" s="10" t="s">
        <v>285</v>
      </c>
      <c r="G12" s="10" t="s">
        <v>286</v>
      </c>
      <c r="H12" s="65" t="s">
        <v>302</v>
      </c>
      <c r="I12" s="10" t="s">
        <v>303</v>
      </c>
    </row>
    <row r="13" customFormat="false" ht="15" hidden="false" customHeight="false" outlineLevel="0" collapsed="false">
      <c r="B13" s="10" t="s">
        <v>108</v>
      </c>
      <c r="C13" s="18" t="n">
        <v>2018</v>
      </c>
      <c r="D13" s="10" t="s">
        <v>284</v>
      </c>
      <c r="E13" s="64" t="n">
        <v>1020.78</v>
      </c>
      <c r="F13" s="10" t="s">
        <v>306</v>
      </c>
      <c r="G13" s="10" t="s">
        <v>286</v>
      </c>
      <c r="H13" s="65" t="s">
        <v>287</v>
      </c>
      <c r="I13" s="10" t="s">
        <v>288</v>
      </c>
    </row>
    <row r="14" customFormat="false" ht="15" hidden="false" customHeight="false" outlineLevel="0" collapsed="false">
      <c r="B14" s="10" t="s">
        <v>108</v>
      </c>
      <c r="C14" s="18" t="n">
        <v>2019</v>
      </c>
      <c r="D14" s="10" t="s">
        <v>289</v>
      </c>
      <c r="E14" s="64" t="n">
        <v>969.741</v>
      </c>
      <c r="F14" s="10" t="s">
        <v>306</v>
      </c>
      <c r="G14" s="10" t="s">
        <v>286</v>
      </c>
      <c r="H14" s="65" t="s">
        <v>290</v>
      </c>
      <c r="I14" s="10" t="s">
        <v>291</v>
      </c>
    </row>
    <row r="15" customFormat="false" ht="15" hidden="false" customHeight="false" outlineLevel="0" collapsed="false">
      <c r="B15" s="10" t="s">
        <v>108</v>
      </c>
      <c r="C15" s="18" t="n">
        <v>2020</v>
      </c>
      <c r="D15" s="10" t="s">
        <v>292</v>
      </c>
      <c r="E15" s="64" t="n">
        <v>1153.99179</v>
      </c>
      <c r="F15" s="10" t="s">
        <v>306</v>
      </c>
      <c r="G15" s="10" t="s">
        <v>286</v>
      </c>
      <c r="H15" s="65" t="s">
        <v>293</v>
      </c>
      <c r="I15" s="10" t="s">
        <v>294</v>
      </c>
    </row>
    <row r="16" customFormat="false" ht="15" hidden="false" customHeight="false" outlineLevel="0" collapsed="false">
      <c r="B16" s="10" t="s">
        <v>108</v>
      </c>
      <c r="C16" s="18" t="n">
        <v>2021</v>
      </c>
      <c r="D16" s="10" t="s">
        <v>295</v>
      </c>
      <c r="E16" s="64" t="n">
        <v>1211.69138</v>
      </c>
      <c r="F16" s="10" t="s">
        <v>306</v>
      </c>
      <c r="G16" s="10" t="s">
        <v>286</v>
      </c>
      <c r="H16" s="65" t="s">
        <v>296</v>
      </c>
      <c r="I16" s="10" t="s">
        <v>297</v>
      </c>
    </row>
    <row r="17" customFormat="false" ht="15" hidden="false" customHeight="false" outlineLevel="0" collapsed="false">
      <c r="B17" s="10" t="s">
        <v>108</v>
      </c>
      <c r="C17" s="18" t="n">
        <v>2022</v>
      </c>
      <c r="D17" s="10" t="s">
        <v>298</v>
      </c>
      <c r="E17" s="64" t="n">
        <v>1332.860517</v>
      </c>
      <c r="F17" s="10" t="s">
        <v>306</v>
      </c>
      <c r="G17" s="10" t="s">
        <v>286</v>
      </c>
      <c r="H17" s="65" t="s">
        <v>299</v>
      </c>
      <c r="I17" s="10" t="s">
        <v>300</v>
      </c>
    </row>
    <row r="18" customFormat="false" ht="15" hidden="false" customHeight="false" outlineLevel="0" collapsed="false">
      <c r="B18" s="10" t="s">
        <v>108</v>
      </c>
      <c r="C18" s="18" t="n">
        <v>2023</v>
      </c>
      <c r="D18" s="10" t="s">
        <v>301</v>
      </c>
      <c r="E18" s="64" t="n">
        <v>1332.860517</v>
      </c>
      <c r="F18" s="10" t="s">
        <v>306</v>
      </c>
      <c r="G18" s="10" t="s">
        <v>286</v>
      </c>
      <c r="H18" s="65" t="s">
        <v>302</v>
      </c>
      <c r="I18" s="10" t="s">
        <v>303</v>
      </c>
    </row>
    <row r="19" customFormat="false" ht="15" hidden="false" customHeight="false" outlineLevel="0" collapsed="false">
      <c r="B19" s="10" t="s">
        <v>108</v>
      </c>
      <c r="C19" s="18" t="n">
        <v>2024</v>
      </c>
      <c r="D19" s="10" t="s">
        <v>304</v>
      </c>
      <c r="E19" s="64" t="n">
        <v>1199.574466</v>
      </c>
      <c r="F19" s="10" t="s">
        <v>306</v>
      </c>
      <c r="G19" s="10" t="s">
        <v>286</v>
      </c>
      <c r="H19" s="65" t="s">
        <v>302</v>
      </c>
      <c r="I19" s="10" t="s">
        <v>303</v>
      </c>
    </row>
    <row r="20" customFormat="false" ht="15" hidden="false" customHeight="false" outlineLevel="0" collapsed="false">
      <c r="B20" s="10" t="s">
        <v>108</v>
      </c>
      <c r="C20" s="18" t="n">
        <v>2025</v>
      </c>
      <c r="D20" s="10" t="s">
        <v>305</v>
      </c>
      <c r="E20" s="64" t="n">
        <v>1199.574466</v>
      </c>
      <c r="F20" s="10" t="s">
        <v>306</v>
      </c>
      <c r="G20" s="10" t="s">
        <v>286</v>
      </c>
      <c r="H20" s="65" t="s">
        <v>302</v>
      </c>
      <c r="I20" s="10" t="s">
        <v>303</v>
      </c>
    </row>
    <row r="21" customFormat="false" ht="15" hidden="false" customHeight="false" outlineLevel="0" collapsed="false">
      <c r="B21" s="10" t="s">
        <v>46</v>
      </c>
      <c r="C21" s="18" t="n">
        <v>2018</v>
      </c>
      <c r="D21" s="10" t="s">
        <v>284</v>
      </c>
      <c r="E21" s="64" t="n">
        <v>9450</v>
      </c>
      <c r="F21" s="10" t="s">
        <v>307</v>
      </c>
      <c r="G21" s="10" t="s">
        <v>286</v>
      </c>
      <c r="H21" s="65" t="s">
        <v>308</v>
      </c>
      <c r="I21" s="10" t="s">
        <v>309</v>
      </c>
    </row>
    <row r="22" customFormat="false" ht="15" hidden="false" customHeight="false" outlineLevel="0" collapsed="false">
      <c r="B22" s="10" t="s">
        <v>46</v>
      </c>
      <c r="C22" s="18" t="n">
        <v>2019</v>
      </c>
      <c r="D22" s="10" t="s">
        <v>289</v>
      </c>
      <c r="E22" s="64" t="n">
        <v>9900</v>
      </c>
      <c r="F22" s="10" t="s">
        <v>307</v>
      </c>
      <c r="G22" s="10" t="s">
        <v>286</v>
      </c>
      <c r="H22" s="65" t="s">
        <v>287</v>
      </c>
      <c r="I22" s="10" t="s">
        <v>288</v>
      </c>
    </row>
    <row r="23" customFormat="false" ht="15" hidden="false" customHeight="false" outlineLevel="0" collapsed="false">
      <c r="B23" s="10" t="s">
        <v>46</v>
      </c>
      <c r="C23" s="18" t="n">
        <v>2020</v>
      </c>
      <c r="D23" s="10" t="s">
        <v>292</v>
      </c>
      <c r="E23" s="64" t="n">
        <v>10350</v>
      </c>
      <c r="F23" s="10" t="s">
        <v>307</v>
      </c>
      <c r="G23" s="10" t="s">
        <v>286</v>
      </c>
      <c r="H23" s="65" t="s">
        <v>290</v>
      </c>
      <c r="I23" s="10" t="s">
        <v>291</v>
      </c>
    </row>
    <row r="24" customFormat="false" ht="15" hidden="false" customHeight="false" outlineLevel="0" collapsed="false">
      <c r="B24" s="10" t="s">
        <v>46</v>
      </c>
      <c r="C24" s="18" t="n">
        <v>2021</v>
      </c>
      <c r="D24" s="10" t="s">
        <v>295</v>
      </c>
      <c r="E24" s="64" t="n">
        <v>10800</v>
      </c>
      <c r="F24" s="10" t="s">
        <v>307</v>
      </c>
      <c r="G24" s="10" t="s">
        <v>286</v>
      </c>
      <c r="H24" s="65" t="s">
        <v>293</v>
      </c>
      <c r="I24" s="10" t="s">
        <v>294</v>
      </c>
    </row>
    <row r="25" customFormat="false" ht="15" hidden="false" customHeight="false" outlineLevel="0" collapsed="false">
      <c r="B25" s="10" t="s">
        <v>46</v>
      </c>
      <c r="C25" s="18" t="n">
        <v>2022</v>
      </c>
      <c r="D25" s="10" t="s">
        <v>298</v>
      </c>
      <c r="E25" s="64" t="n">
        <v>11250</v>
      </c>
      <c r="F25" s="10" t="s">
        <v>307</v>
      </c>
      <c r="G25" s="10" t="s">
        <v>286</v>
      </c>
      <c r="H25" s="65" t="s">
        <v>296</v>
      </c>
      <c r="I25" s="10" t="s">
        <v>297</v>
      </c>
    </row>
    <row r="26" customFormat="false" ht="15" hidden="false" customHeight="false" outlineLevel="0" collapsed="false">
      <c r="B26" s="10" t="s">
        <v>46</v>
      </c>
      <c r="C26" s="18" t="n">
        <v>2023</v>
      </c>
      <c r="D26" s="10" t="s">
        <v>301</v>
      </c>
      <c r="E26" s="64" t="n">
        <v>11700</v>
      </c>
      <c r="F26" s="10" t="s">
        <v>307</v>
      </c>
      <c r="G26" s="10" t="s">
        <v>286</v>
      </c>
      <c r="H26" s="65" t="s">
        <v>299</v>
      </c>
      <c r="I26" s="10" t="s">
        <v>300</v>
      </c>
    </row>
    <row r="27" customFormat="false" ht="15" hidden="false" customHeight="false" outlineLevel="0" collapsed="false">
      <c r="B27" s="10" t="s">
        <v>46</v>
      </c>
      <c r="C27" s="18" t="n">
        <v>2024</v>
      </c>
      <c r="D27" s="10" t="s">
        <v>304</v>
      </c>
      <c r="E27" s="64" t="n">
        <v>12150</v>
      </c>
      <c r="F27" s="10" t="s">
        <v>307</v>
      </c>
      <c r="G27" s="10" t="s">
        <v>286</v>
      </c>
      <c r="H27" s="65" t="s">
        <v>302</v>
      </c>
      <c r="I27" s="10" t="s">
        <v>303</v>
      </c>
    </row>
    <row r="28" customFormat="false" ht="15" hidden="false" customHeight="false" outlineLevel="0" collapsed="false">
      <c r="B28" s="10" t="s">
        <v>46</v>
      </c>
      <c r="C28" s="18" t="n">
        <v>2025</v>
      </c>
      <c r="D28" s="10" t="s">
        <v>305</v>
      </c>
      <c r="E28" s="64" t="n">
        <v>12600</v>
      </c>
      <c r="F28" s="10" t="s">
        <v>307</v>
      </c>
      <c r="G28" s="10" t="s">
        <v>286</v>
      </c>
      <c r="H28" s="65" t="s">
        <v>302</v>
      </c>
      <c r="I28" s="10" t="s">
        <v>303</v>
      </c>
    </row>
    <row r="29" customFormat="false" ht="15" hidden="false" customHeight="false" outlineLevel="0" collapsed="false">
      <c r="B29" s="10" t="s">
        <v>107</v>
      </c>
      <c r="C29" s="18" t="n">
        <v>2018</v>
      </c>
      <c r="D29" s="10" t="s">
        <v>284</v>
      </c>
      <c r="E29" s="64" t="n">
        <v>4551.56517</v>
      </c>
      <c r="F29" s="10" t="s">
        <v>310</v>
      </c>
      <c r="G29" s="10" t="s">
        <v>286</v>
      </c>
      <c r="H29" s="65" t="s">
        <v>287</v>
      </c>
      <c r="I29" s="10" t="s">
        <v>288</v>
      </c>
    </row>
    <row r="30" customFormat="false" ht="15" hidden="false" customHeight="false" outlineLevel="0" collapsed="false">
      <c r="B30" s="10" t="s">
        <v>107</v>
      </c>
      <c r="C30" s="18" t="n">
        <v>2019</v>
      </c>
      <c r="D30" s="10" t="s">
        <v>289</v>
      </c>
      <c r="E30" s="64" t="n">
        <v>3516.546714</v>
      </c>
      <c r="F30" s="10" t="s">
        <v>310</v>
      </c>
      <c r="G30" s="10" t="s">
        <v>286</v>
      </c>
      <c r="H30" s="65" t="s">
        <v>290</v>
      </c>
      <c r="I30" s="10" t="s">
        <v>291</v>
      </c>
    </row>
    <row r="31" customFormat="false" ht="15" hidden="false" customHeight="false" outlineLevel="0" collapsed="false">
      <c r="B31" s="10" t="s">
        <v>107</v>
      </c>
      <c r="C31" s="18" t="n">
        <v>2020</v>
      </c>
      <c r="D31" s="10" t="s">
        <v>292</v>
      </c>
      <c r="E31" s="64" t="n">
        <v>6100.319594</v>
      </c>
      <c r="F31" s="10" t="s">
        <v>310</v>
      </c>
      <c r="G31" s="10" t="s">
        <v>286</v>
      </c>
      <c r="H31" s="65" t="s">
        <v>293</v>
      </c>
      <c r="I31" s="10" t="s">
        <v>294</v>
      </c>
    </row>
    <row r="32" customFormat="false" ht="15" hidden="false" customHeight="false" outlineLevel="0" collapsed="false">
      <c r="B32" s="10" t="s">
        <v>107</v>
      </c>
      <c r="C32" s="18" t="n">
        <v>2021</v>
      </c>
      <c r="D32" s="10" t="s">
        <v>295</v>
      </c>
      <c r="E32" s="64" t="n">
        <v>5757.620692</v>
      </c>
      <c r="F32" s="10" t="s">
        <v>310</v>
      </c>
      <c r="G32" s="10" t="s">
        <v>286</v>
      </c>
      <c r="H32" s="65" t="s">
        <v>296</v>
      </c>
      <c r="I32" s="10" t="s">
        <v>297</v>
      </c>
    </row>
    <row r="33" customFormat="false" ht="15" hidden="false" customHeight="false" outlineLevel="0" collapsed="false">
      <c r="B33" s="10" t="s">
        <v>107</v>
      </c>
      <c r="C33" s="18" t="n">
        <v>2022</v>
      </c>
      <c r="D33" s="10" t="s">
        <v>298</v>
      </c>
      <c r="E33" s="64" t="n">
        <v>5635.722732</v>
      </c>
      <c r="F33" s="10" t="s">
        <v>310</v>
      </c>
      <c r="G33" s="10" t="s">
        <v>286</v>
      </c>
      <c r="H33" s="65" t="s">
        <v>299</v>
      </c>
      <c r="I33" s="10" t="s">
        <v>300</v>
      </c>
    </row>
    <row r="34" customFormat="false" ht="15" hidden="false" customHeight="false" outlineLevel="0" collapsed="false">
      <c r="B34" s="10" t="s">
        <v>107</v>
      </c>
      <c r="C34" s="18" t="n">
        <v>2023</v>
      </c>
      <c r="D34" s="10" t="s">
        <v>301</v>
      </c>
      <c r="E34" s="64" t="n">
        <v>5627.642982</v>
      </c>
      <c r="F34" s="10" t="s">
        <v>310</v>
      </c>
      <c r="G34" s="10" t="s">
        <v>286</v>
      </c>
      <c r="H34" s="65" t="s">
        <v>302</v>
      </c>
      <c r="I34" s="10" t="s">
        <v>303</v>
      </c>
    </row>
    <row r="35" customFormat="false" ht="15" hidden="false" customHeight="false" outlineLevel="0" collapsed="false">
      <c r="B35" s="10" t="s">
        <v>107</v>
      </c>
      <c r="C35" s="18" t="n">
        <v>2024</v>
      </c>
      <c r="D35" s="10" t="s">
        <v>304</v>
      </c>
      <c r="E35" s="64" t="n">
        <v>3729.47816</v>
      </c>
      <c r="F35" s="10" t="s">
        <v>310</v>
      </c>
      <c r="G35" s="10" t="s">
        <v>286</v>
      </c>
      <c r="H35" s="65" t="s">
        <v>302</v>
      </c>
      <c r="I35" s="10" t="s">
        <v>303</v>
      </c>
    </row>
    <row r="36" customFormat="false" ht="15" hidden="false" customHeight="false" outlineLevel="0" collapsed="false">
      <c r="B36" s="10" t="s">
        <v>107</v>
      </c>
      <c r="C36" s="18" t="n">
        <v>2025</v>
      </c>
      <c r="D36" s="10" t="s">
        <v>305</v>
      </c>
      <c r="E36" s="64" t="n">
        <v>3397.513305</v>
      </c>
      <c r="F36" s="10" t="s">
        <v>310</v>
      </c>
      <c r="G36" s="10" t="s">
        <v>286</v>
      </c>
      <c r="H36" s="65" t="s">
        <v>302</v>
      </c>
      <c r="I36" s="10" t="s">
        <v>303</v>
      </c>
    </row>
    <row r="37" customFormat="false" ht="15" hidden="false" customHeight="false" outlineLevel="0" collapsed="false">
      <c r="B37" s="10" t="s">
        <v>98</v>
      </c>
      <c r="C37" s="18" t="n">
        <v>2018</v>
      </c>
      <c r="D37" s="10" t="s">
        <v>284</v>
      </c>
      <c r="E37" s="64" t="n">
        <v>19054.56</v>
      </c>
      <c r="F37" s="10" t="s">
        <v>311</v>
      </c>
      <c r="G37" s="10" t="s">
        <v>286</v>
      </c>
      <c r="H37" s="65" t="s">
        <v>287</v>
      </c>
      <c r="I37" s="10" t="s">
        <v>288</v>
      </c>
    </row>
    <row r="38" customFormat="false" ht="15" hidden="false" customHeight="false" outlineLevel="0" collapsed="false">
      <c r="B38" s="10" t="s">
        <v>98</v>
      </c>
      <c r="C38" s="18" t="n">
        <v>2019</v>
      </c>
      <c r="D38" s="10" t="s">
        <v>289</v>
      </c>
      <c r="E38" s="64" t="n">
        <v>18101.832</v>
      </c>
      <c r="F38" s="10" t="s">
        <v>311</v>
      </c>
      <c r="G38" s="10" t="s">
        <v>286</v>
      </c>
      <c r="H38" s="65" t="s">
        <v>290</v>
      </c>
      <c r="I38" s="10" t="s">
        <v>291</v>
      </c>
    </row>
    <row r="39" customFormat="false" ht="15" hidden="false" customHeight="false" outlineLevel="0" collapsed="false">
      <c r="B39" s="10" t="s">
        <v>98</v>
      </c>
      <c r="C39" s="18" t="n">
        <v>2020</v>
      </c>
      <c r="D39" s="10" t="s">
        <v>292</v>
      </c>
      <c r="E39" s="64" t="n">
        <v>21541.18008</v>
      </c>
      <c r="F39" s="10" t="s">
        <v>311</v>
      </c>
      <c r="G39" s="10" t="s">
        <v>286</v>
      </c>
      <c r="H39" s="65" t="s">
        <v>293</v>
      </c>
      <c r="I39" s="10" t="s">
        <v>294</v>
      </c>
    </row>
    <row r="40" customFormat="false" ht="15" hidden="false" customHeight="false" outlineLevel="0" collapsed="false">
      <c r="B40" s="10" t="s">
        <v>98</v>
      </c>
      <c r="C40" s="18" t="n">
        <v>2021</v>
      </c>
      <c r="D40" s="10" t="s">
        <v>295</v>
      </c>
      <c r="E40" s="64" t="n">
        <v>22618.239084</v>
      </c>
      <c r="F40" s="10" t="s">
        <v>311</v>
      </c>
      <c r="G40" s="10" t="s">
        <v>286</v>
      </c>
      <c r="H40" s="65" t="s">
        <v>296</v>
      </c>
      <c r="I40" s="10" t="s">
        <v>297</v>
      </c>
    </row>
    <row r="41" customFormat="false" ht="15" hidden="false" customHeight="false" outlineLevel="0" collapsed="false">
      <c r="B41" s="10" t="s">
        <v>98</v>
      </c>
      <c r="C41" s="18" t="n">
        <v>2022</v>
      </c>
      <c r="D41" s="10" t="s">
        <v>298</v>
      </c>
      <c r="E41" s="64" t="n">
        <v>24880.062992</v>
      </c>
      <c r="F41" s="10" t="s">
        <v>311</v>
      </c>
      <c r="G41" s="10" t="s">
        <v>286</v>
      </c>
      <c r="H41" s="65" t="s">
        <v>299</v>
      </c>
      <c r="I41" s="10" t="s">
        <v>300</v>
      </c>
    </row>
    <row r="42" customFormat="false" ht="15" hidden="false" customHeight="false" outlineLevel="0" collapsed="false">
      <c r="B42" s="10" t="s">
        <v>98</v>
      </c>
      <c r="C42" s="18" t="n">
        <v>2023</v>
      </c>
      <c r="D42" s="10" t="s">
        <v>301</v>
      </c>
      <c r="E42" s="64" t="n">
        <v>24880.062992</v>
      </c>
      <c r="F42" s="10" t="s">
        <v>311</v>
      </c>
      <c r="G42" s="10" t="s">
        <v>286</v>
      </c>
      <c r="H42" s="65" t="s">
        <v>302</v>
      </c>
      <c r="I42" s="10" t="s">
        <v>303</v>
      </c>
    </row>
    <row r="43" customFormat="false" ht="15" hidden="false" customHeight="false" outlineLevel="0" collapsed="false">
      <c r="B43" s="10" t="s">
        <v>98</v>
      </c>
      <c r="C43" s="18" t="n">
        <v>2024</v>
      </c>
      <c r="D43" s="10" t="s">
        <v>304</v>
      </c>
      <c r="E43" s="64" t="n">
        <v>22392.056693</v>
      </c>
      <c r="F43" s="10" t="s">
        <v>311</v>
      </c>
      <c r="G43" s="10" t="s">
        <v>286</v>
      </c>
      <c r="H43" s="65" t="s">
        <v>302</v>
      </c>
      <c r="I43" s="10" t="s">
        <v>303</v>
      </c>
    </row>
    <row r="44" customFormat="false" ht="15" hidden="false" customHeight="false" outlineLevel="0" collapsed="false">
      <c r="B44" s="10" t="s">
        <v>98</v>
      </c>
      <c r="C44" s="18" t="n">
        <v>2025</v>
      </c>
      <c r="D44" s="10" t="s">
        <v>305</v>
      </c>
      <c r="E44" s="64" t="n">
        <v>22392.056693</v>
      </c>
      <c r="F44" s="10" t="s">
        <v>311</v>
      </c>
      <c r="G44" s="10" t="s">
        <v>286</v>
      </c>
      <c r="H44" s="65" t="s">
        <v>302</v>
      </c>
      <c r="I44" s="10" t="s">
        <v>303</v>
      </c>
    </row>
    <row r="45" customFormat="false" ht="15" hidden="false" customHeight="false" outlineLevel="0" collapsed="false">
      <c r="B45" s="10" t="s">
        <v>312</v>
      </c>
      <c r="C45" s="18" t="n">
        <v>2018</v>
      </c>
      <c r="D45" s="10" t="s">
        <v>284</v>
      </c>
      <c r="E45" s="64" t="n">
        <v>18568.968</v>
      </c>
      <c r="F45" s="10" t="s">
        <v>313</v>
      </c>
      <c r="G45" s="10" t="s">
        <v>286</v>
      </c>
      <c r="H45" s="65" t="s">
        <v>308</v>
      </c>
      <c r="I45" s="10" t="s">
        <v>309</v>
      </c>
    </row>
    <row r="46" customFormat="false" ht="15" hidden="false" customHeight="false" outlineLevel="0" collapsed="false">
      <c r="B46" s="10" t="s">
        <v>312</v>
      </c>
      <c r="C46" s="18" t="n">
        <v>2019</v>
      </c>
      <c r="D46" s="10" t="s">
        <v>289</v>
      </c>
      <c r="E46" s="64" t="n">
        <v>18563.0196</v>
      </c>
      <c r="F46" s="10" t="s">
        <v>313</v>
      </c>
      <c r="G46" s="10" t="s">
        <v>286</v>
      </c>
      <c r="H46" s="65" t="s">
        <v>287</v>
      </c>
      <c r="I46" s="10" t="s">
        <v>288</v>
      </c>
    </row>
    <row r="47" customFormat="false" ht="15" hidden="false" customHeight="false" outlineLevel="0" collapsed="false">
      <c r="B47" s="10" t="s">
        <v>312</v>
      </c>
      <c r="C47" s="18" t="n">
        <v>2020</v>
      </c>
      <c r="D47" s="10" t="s">
        <v>292</v>
      </c>
      <c r="E47" s="64" t="n">
        <v>20658.993324</v>
      </c>
      <c r="F47" s="10" t="s">
        <v>313</v>
      </c>
      <c r="G47" s="10" t="s">
        <v>286</v>
      </c>
      <c r="H47" s="65" t="s">
        <v>290</v>
      </c>
      <c r="I47" s="10" t="s">
        <v>291</v>
      </c>
    </row>
    <row r="48" customFormat="false" ht="15" hidden="false" customHeight="false" outlineLevel="0" collapsed="false">
      <c r="B48" s="10" t="s">
        <v>312</v>
      </c>
      <c r="C48" s="18" t="n">
        <v>2021</v>
      </c>
      <c r="D48" s="10" t="s">
        <v>295</v>
      </c>
      <c r="E48" s="64" t="n">
        <v>21624.44299</v>
      </c>
      <c r="F48" s="10" t="s">
        <v>313</v>
      </c>
      <c r="G48" s="10" t="s">
        <v>286</v>
      </c>
      <c r="H48" s="65" t="s">
        <v>293</v>
      </c>
      <c r="I48" s="10" t="s">
        <v>294</v>
      </c>
    </row>
    <row r="49" customFormat="false" ht="15" hidden="false" customHeight="false" outlineLevel="0" collapsed="false">
      <c r="B49" s="10" t="s">
        <v>312</v>
      </c>
      <c r="C49" s="18" t="n">
        <v>2022</v>
      </c>
      <c r="D49" s="10" t="s">
        <v>298</v>
      </c>
      <c r="E49" s="64" t="n">
        <v>23156.887289</v>
      </c>
      <c r="F49" s="10" t="s">
        <v>313</v>
      </c>
      <c r="G49" s="10" t="s">
        <v>286</v>
      </c>
      <c r="H49" s="65" t="s">
        <v>296</v>
      </c>
      <c r="I49" s="10" t="s">
        <v>297</v>
      </c>
    </row>
    <row r="50" customFormat="false" ht="15" hidden="false" customHeight="false" outlineLevel="0" collapsed="false">
      <c r="B50" s="10" t="s">
        <v>312</v>
      </c>
      <c r="C50" s="18" t="n">
        <v>2023</v>
      </c>
      <c r="D50" s="10" t="s">
        <v>301</v>
      </c>
      <c r="E50" s="64" t="n">
        <v>23606.887289</v>
      </c>
      <c r="F50" s="10" t="s">
        <v>313</v>
      </c>
      <c r="G50" s="10" t="s">
        <v>286</v>
      </c>
      <c r="H50" s="65" t="s">
        <v>299</v>
      </c>
      <c r="I50" s="10" t="s">
        <v>300</v>
      </c>
    </row>
    <row r="51" customFormat="false" ht="15" hidden="false" customHeight="false" outlineLevel="0" collapsed="false">
      <c r="B51" s="10" t="s">
        <v>312</v>
      </c>
      <c r="C51" s="18" t="n">
        <v>2024</v>
      </c>
      <c r="D51" s="10" t="s">
        <v>304</v>
      </c>
      <c r="E51" s="64" t="n">
        <v>22866.19856</v>
      </c>
      <c r="F51" s="10" t="s">
        <v>313</v>
      </c>
      <c r="G51" s="10" t="s">
        <v>286</v>
      </c>
      <c r="H51" s="65" t="s">
        <v>302</v>
      </c>
      <c r="I51" s="10" t="s">
        <v>303</v>
      </c>
    </row>
    <row r="52" customFormat="false" ht="15" hidden="false" customHeight="false" outlineLevel="0" collapsed="false">
      <c r="B52" s="10" t="s">
        <v>312</v>
      </c>
      <c r="C52" s="18" t="n">
        <v>2025</v>
      </c>
      <c r="D52" s="10" t="s">
        <v>305</v>
      </c>
      <c r="E52" s="64" t="n">
        <v>23316.19856</v>
      </c>
      <c r="F52" s="10" t="s">
        <v>313</v>
      </c>
      <c r="G52" s="10" t="s">
        <v>286</v>
      </c>
      <c r="H52" s="65" t="s">
        <v>302</v>
      </c>
      <c r="I52" s="10" t="s">
        <v>303</v>
      </c>
    </row>
    <row r="53" customFormat="false" ht="15" hidden="false" customHeight="false" outlineLevel="0" collapsed="false">
      <c r="B53" s="10" t="s">
        <v>314</v>
      </c>
      <c r="C53" s="18" t="n">
        <v>2018</v>
      </c>
      <c r="D53" s="10" t="s">
        <v>284</v>
      </c>
      <c r="E53" s="64" t="n">
        <v>7545.60576</v>
      </c>
      <c r="F53" s="10" t="s">
        <v>315</v>
      </c>
      <c r="G53" s="10" t="s">
        <v>286</v>
      </c>
      <c r="H53" s="65" t="s">
        <v>308</v>
      </c>
      <c r="I53" s="10" t="s">
        <v>309</v>
      </c>
    </row>
    <row r="54" customFormat="false" ht="15" hidden="false" customHeight="false" outlineLevel="0" collapsed="false">
      <c r="B54" s="10" t="s">
        <v>314</v>
      </c>
      <c r="C54" s="18" t="n">
        <v>2019</v>
      </c>
      <c r="D54" s="10" t="s">
        <v>289</v>
      </c>
      <c r="E54" s="64" t="n">
        <v>7168.325472</v>
      </c>
      <c r="F54" s="10" t="s">
        <v>315</v>
      </c>
      <c r="G54" s="10" t="s">
        <v>286</v>
      </c>
      <c r="H54" s="65" t="s">
        <v>287</v>
      </c>
      <c r="I54" s="10" t="s">
        <v>288</v>
      </c>
    </row>
    <row r="55" customFormat="false" ht="15" hidden="false" customHeight="false" outlineLevel="0" collapsed="false">
      <c r="B55" s="10" t="s">
        <v>314</v>
      </c>
      <c r="C55" s="18" t="n">
        <v>2020</v>
      </c>
      <c r="D55" s="10" t="s">
        <v>292</v>
      </c>
      <c r="E55" s="64" t="n">
        <v>8530.307312</v>
      </c>
      <c r="F55" s="10" t="s">
        <v>315</v>
      </c>
      <c r="G55" s="10" t="s">
        <v>286</v>
      </c>
      <c r="H55" s="65" t="s">
        <v>290</v>
      </c>
      <c r="I55" s="10" t="s">
        <v>291</v>
      </c>
    </row>
    <row r="56" customFormat="false" ht="15" hidden="false" customHeight="false" outlineLevel="0" collapsed="false">
      <c r="B56" s="10" t="s">
        <v>314</v>
      </c>
      <c r="C56" s="18" t="n">
        <v>2021</v>
      </c>
      <c r="D56" s="10" t="s">
        <v>295</v>
      </c>
      <c r="E56" s="64" t="n">
        <v>8956.822677</v>
      </c>
      <c r="F56" s="10" t="s">
        <v>315</v>
      </c>
      <c r="G56" s="10" t="s">
        <v>286</v>
      </c>
      <c r="H56" s="65" t="s">
        <v>293</v>
      </c>
      <c r="I56" s="10" t="s">
        <v>294</v>
      </c>
    </row>
    <row r="57" customFormat="false" ht="15" hidden="false" customHeight="false" outlineLevel="0" collapsed="false">
      <c r="B57" s="10" t="s">
        <v>314</v>
      </c>
      <c r="C57" s="18" t="n">
        <v>2022</v>
      </c>
      <c r="D57" s="10" t="s">
        <v>298</v>
      </c>
      <c r="E57" s="64" t="n">
        <v>9852.504945</v>
      </c>
      <c r="F57" s="10" t="s">
        <v>315</v>
      </c>
      <c r="G57" s="10" t="s">
        <v>286</v>
      </c>
      <c r="H57" s="65" t="s">
        <v>296</v>
      </c>
      <c r="I57" s="10" t="s">
        <v>297</v>
      </c>
    </row>
    <row r="58" customFormat="false" ht="15" hidden="false" customHeight="false" outlineLevel="0" collapsed="false">
      <c r="B58" s="10" t="s">
        <v>314</v>
      </c>
      <c r="C58" s="18" t="n">
        <v>2023</v>
      </c>
      <c r="D58" s="10" t="s">
        <v>301</v>
      </c>
      <c r="E58" s="64" t="n">
        <v>9852.504945</v>
      </c>
      <c r="F58" s="10" t="s">
        <v>315</v>
      </c>
      <c r="G58" s="10" t="s">
        <v>286</v>
      </c>
      <c r="H58" s="65" t="s">
        <v>299</v>
      </c>
      <c r="I58" s="10" t="s">
        <v>300</v>
      </c>
    </row>
    <row r="59" customFormat="false" ht="15" hidden="false" customHeight="false" outlineLevel="0" collapsed="false">
      <c r="B59" s="10" t="s">
        <v>314</v>
      </c>
      <c r="C59" s="18" t="n">
        <v>2024</v>
      </c>
      <c r="D59" s="10" t="s">
        <v>304</v>
      </c>
      <c r="E59" s="64" t="n">
        <v>8867.25445</v>
      </c>
      <c r="F59" s="10" t="s">
        <v>315</v>
      </c>
      <c r="G59" s="10" t="s">
        <v>286</v>
      </c>
      <c r="H59" s="65" t="s">
        <v>302</v>
      </c>
      <c r="I59" s="10" t="s">
        <v>303</v>
      </c>
    </row>
    <row r="60" customFormat="false" ht="15" hidden="false" customHeight="false" outlineLevel="0" collapsed="false">
      <c r="B60" s="10" t="s">
        <v>314</v>
      </c>
      <c r="C60" s="18" t="n">
        <v>2025</v>
      </c>
      <c r="D60" s="10" t="s">
        <v>305</v>
      </c>
      <c r="E60" s="64" t="n">
        <v>8867.25445</v>
      </c>
      <c r="F60" s="10" t="s">
        <v>315</v>
      </c>
      <c r="G60" s="10" t="s">
        <v>286</v>
      </c>
      <c r="H60" s="65" t="s">
        <v>302</v>
      </c>
      <c r="I60" s="10" t="s">
        <v>303</v>
      </c>
    </row>
    <row r="61" customFormat="false" ht="15" hidden="false" customHeight="false" outlineLevel="0" collapsed="false">
      <c r="B61" s="10" t="s">
        <v>101</v>
      </c>
      <c r="C61" s="18" t="n">
        <v>2018</v>
      </c>
      <c r="D61" s="10" t="s">
        <v>284</v>
      </c>
      <c r="E61" s="64" t="n">
        <v>850.65</v>
      </c>
      <c r="F61" s="10" t="s">
        <v>316</v>
      </c>
      <c r="G61" s="10" t="s">
        <v>286</v>
      </c>
      <c r="H61" s="65" t="s">
        <v>287</v>
      </c>
      <c r="I61" s="10" t="s">
        <v>288</v>
      </c>
    </row>
    <row r="62" customFormat="false" ht="15" hidden="false" customHeight="false" outlineLevel="0" collapsed="false">
      <c r="B62" s="10" t="s">
        <v>101</v>
      </c>
      <c r="C62" s="18" t="n">
        <v>2019</v>
      </c>
      <c r="D62" s="10" t="s">
        <v>289</v>
      </c>
      <c r="E62" s="64" t="n">
        <v>808.1175</v>
      </c>
      <c r="F62" s="10" t="s">
        <v>316</v>
      </c>
      <c r="G62" s="10" t="s">
        <v>286</v>
      </c>
      <c r="H62" s="65" t="s">
        <v>290</v>
      </c>
      <c r="I62" s="10" t="s">
        <v>291</v>
      </c>
    </row>
    <row r="63" customFormat="false" ht="15" hidden="false" customHeight="false" outlineLevel="0" collapsed="false">
      <c r="B63" s="10" t="s">
        <v>101</v>
      </c>
      <c r="C63" s="18" t="n">
        <v>2020</v>
      </c>
      <c r="D63" s="10" t="s">
        <v>292</v>
      </c>
      <c r="E63" s="64" t="n">
        <v>961.659825</v>
      </c>
      <c r="F63" s="10" t="s">
        <v>316</v>
      </c>
      <c r="G63" s="10" t="s">
        <v>286</v>
      </c>
      <c r="H63" s="65" t="s">
        <v>293</v>
      </c>
      <c r="I63" s="10" t="s">
        <v>294</v>
      </c>
    </row>
    <row r="64" customFormat="false" ht="15" hidden="false" customHeight="false" outlineLevel="0" collapsed="false">
      <c r="B64" s="10" t="s">
        <v>101</v>
      </c>
      <c r="C64" s="18" t="n">
        <v>2021</v>
      </c>
      <c r="D64" s="10" t="s">
        <v>295</v>
      </c>
      <c r="E64" s="64" t="n">
        <v>1009.742816</v>
      </c>
      <c r="F64" s="10" t="s">
        <v>316</v>
      </c>
      <c r="G64" s="10" t="s">
        <v>286</v>
      </c>
      <c r="H64" s="65" t="s">
        <v>296</v>
      </c>
      <c r="I64" s="10" t="s">
        <v>297</v>
      </c>
    </row>
    <row r="65" customFormat="false" ht="15" hidden="false" customHeight="false" outlineLevel="0" collapsed="false">
      <c r="B65" s="10" t="s">
        <v>101</v>
      </c>
      <c r="C65" s="18" t="n">
        <v>2022</v>
      </c>
      <c r="D65" s="10" t="s">
        <v>298</v>
      </c>
      <c r="E65" s="64" t="n">
        <v>1110.717098</v>
      </c>
      <c r="F65" s="10" t="s">
        <v>316</v>
      </c>
      <c r="G65" s="10" t="s">
        <v>286</v>
      </c>
      <c r="H65" s="65" t="s">
        <v>299</v>
      </c>
      <c r="I65" s="10" t="s">
        <v>300</v>
      </c>
    </row>
    <row r="66" customFormat="false" ht="15" hidden="false" customHeight="false" outlineLevel="0" collapsed="false">
      <c r="B66" s="10" t="s">
        <v>101</v>
      </c>
      <c r="C66" s="18" t="n">
        <v>2023</v>
      </c>
      <c r="D66" s="10" t="s">
        <v>301</v>
      </c>
      <c r="E66" s="64" t="n">
        <v>1110.717098</v>
      </c>
      <c r="F66" s="10" t="s">
        <v>316</v>
      </c>
      <c r="G66" s="10" t="s">
        <v>286</v>
      </c>
      <c r="H66" s="65" t="s">
        <v>302</v>
      </c>
      <c r="I66" s="10" t="s">
        <v>303</v>
      </c>
    </row>
    <row r="67" customFormat="false" ht="15" hidden="false" customHeight="false" outlineLevel="0" collapsed="false">
      <c r="B67" s="10" t="s">
        <v>101</v>
      </c>
      <c r="C67" s="18" t="n">
        <v>2024</v>
      </c>
      <c r="D67" s="10" t="s">
        <v>304</v>
      </c>
      <c r="E67" s="64" t="n">
        <v>999.645388</v>
      </c>
      <c r="F67" s="10" t="s">
        <v>316</v>
      </c>
      <c r="G67" s="10" t="s">
        <v>286</v>
      </c>
      <c r="H67" s="65" t="s">
        <v>302</v>
      </c>
      <c r="I67" s="10" t="s">
        <v>303</v>
      </c>
    </row>
    <row r="68" customFormat="false" ht="15" hidden="false" customHeight="false" outlineLevel="0" collapsed="false">
      <c r="B68" s="10" t="s">
        <v>101</v>
      </c>
      <c r="C68" s="18" t="n">
        <v>2025</v>
      </c>
      <c r="D68" s="10" t="s">
        <v>305</v>
      </c>
      <c r="E68" s="64" t="n">
        <v>999.645388</v>
      </c>
      <c r="F68" s="10" t="s">
        <v>316</v>
      </c>
      <c r="G68" s="10" t="s">
        <v>286</v>
      </c>
      <c r="H68" s="65" t="s">
        <v>302</v>
      </c>
      <c r="I68" s="10" t="s">
        <v>303</v>
      </c>
    </row>
    <row r="69" customFormat="false" ht="15" hidden="false" customHeight="false" outlineLevel="0" collapsed="false">
      <c r="B69" s="10" t="s">
        <v>317</v>
      </c>
      <c r="C69" s="18" t="n">
        <v>2018</v>
      </c>
      <c r="D69" s="10" t="s">
        <v>284</v>
      </c>
      <c r="E69" s="64" t="n">
        <v>1485000000</v>
      </c>
      <c r="F69" s="10" t="s">
        <v>318</v>
      </c>
      <c r="G69" s="10" t="s">
        <v>286</v>
      </c>
      <c r="H69" s="65" t="s">
        <v>287</v>
      </c>
      <c r="I69" s="10" t="s">
        <v>288</v>
      </c>
    </row>
    <row r="70" customFormat="false" ht="15" hidden="false" customHeight="false" outlineLevel="0" collapsed="false">
      <c r="B70" s="10" t="s">
        <v>317</v>
      </c>
      <c r="C70" s="18" t="n">
        <v>2019</v>
      </c>
      <c r="D70" s="10" t="s">
        <v>289</v>
      </c>
      <c r="E70" s="64" t="n">
        <v>1470000000</v>
      </c>
      <c r="F70" s="10" t="s">
        <v>318</v>
      </c>
      <c r="G70" s="10" t="s">
        <v>286</v>
      </c>
      <c r="H70" s="65" t="s">
        <v>290</v>
      </c>
      <c r="I70" s="10" t="s">
        <v>291</v>
      </c>
    </row>
    <row r="71" customFormat="false" ht="15" hidden="false" customHeight="false" outlineLevel="0" collapsed="false">
      <c r="B71" s="10" t="s">
        <v>317</v>
      </c>
      <c r="C71" s="18" t="n">
        <v>2020</v>
      </c>
      <c r="D71" s="10" t="s">
        <v>292</v>
      </c>
      <c r="E71" s="64" t="n">
        <v>1455000000</v>
      </c>
      <c r="F71" s="10" t="s">
        <v>318</v>
      </c>
      <c r="G71" s="10" t="s">
        <v>286</v>
      </c>
      <c r="H71" s="65" t="s">
        <v>293</v>
      </c>
      <c r="I71" s="10" t="s">
        <v>294</v>
      </c>
    </row>
    <row r="72" customFormat="false" ht="15" hidden="false" customHeight="false" outlineLevel="0" collapsed="false">
      <c r="B72" s="10" t="s">
        <v>317</v>
      </c>
      <c r="C72" s="18" t="n">
        <v>2021</v>
      </c>
      <c r="D72" s="10" t="s">
        <v>295</v>
      </c>
      <c r="E72" s="64" t="n">
        <v>1440000000</v>
      </c>
      <c r="F72" s="10" t="s">
        <v>318</v>
      </c>
      <c r="G72" s="10" t="s">
        <v>286</v>
      </c>
      <c r="H72" s="65" t="s">
        <v>296</v>
      </c>
      <c r="I72" s="10" t="s">
        <v>297</v>
      </c>
    </row>
    <row r="73" customFormat="false" ht="15" hidden="false" customHeight="false" outlineLevel="0" collapsed="false">
      <c r="B73" s="10" t="s">
        <v>317</v>
      </c>
      <c r="C73" s="18" t="n">
        <v>2022</v>
      </c>
      <c r="D73" s="10" t="s">
        <v>298</v>
      </c>
      <c r="E73" s="64" t="n">
        <v>1425000000</v>
      </c>
      <c r="F73" s="10" t="s">
        <v>318</v>
      </c>
      <c r="G73" s="10" t="s">
        <v>286</v>
      </c>
      <c r="H73" s="65" t="s">
        <v>299</v>
      </c>
      <c r="I73" s="10" t="s">
        <v>300</v>
      </c>
    </row>
    <row r="74" customFormat="false" ht="15" hidden="false" customHeight="false" outlineLevel="0" collapsed="false">
      <c r="B74" s="10" t="s">
        <v>317</v>
      </c>
      <c r="C74" s="18" t="n">
        <v>2023</v>
      </c>
      <c r="D74" s="10" t="s">
        <v>301</v>
      </c>
      <c r="E74" s="64" t="n">
        <v>1410000000</v>
      </c>
      <c r="F74" s="10" t="s">
        <v>318</v>
      </c>
      <c r="G74" s="10" t="s">
        <v>286</v>
      </c>
      <c r="H74" s="65" t="s">
        <v>302</v>
      </c>
      <c r="I74" s="10" t="s">
        <v>303</v>
      </c>
    </row>
    <row r="75" customFormat="false" ht="15" hidden="false" customHeight="false" outlineLevel="0" collapsed="false">
      <c r="B75" s="10" t="s">
        <v>317</v>
      </c>
      <c r="C75" s="18" t="n">
        <v>2024</v>
      </c>
      <c r="D75" s="10" t="s">
        <v>304</v>
      </c>
      <c r="E75" s="64" t="n">
        <v>1395000000</v>
      </c>
      <c r="F75" s="10" t="s">
        <v>318</v>
      </c>
      <c r="G75" s="10" t="s">
        <v>286</v>
      </c>
      <c r="H75" s="65" t="s">
        <v>302</v>
      </c>
      <c r="I75" s="10" t="s">
        <v>303</v>
      </c>
    </row>
    <row r="76" customFormat="false" ht="15" hidden="false" customHeight="false" outlineLevel="0" collapsed="false">
      <c r="B76" s="10" t="s">
        <v>317</v>
      </c>
      <c r="C76" s="18" t="n">
        <v>2025</v>
      </c>
      <c r="D76" s="10" t="s">
        <v>305</v>
      </c>
      <c r="E76" s="64" t="n">
        <v>1380000000</v>
      </c>
      <c r="F76" s="10" t="s">
        <v>318</v>
      </c>
      <c r="G76" s="10" t="s">
        <v>286</v>
      </c>
      <c r="H76" s="65" t="s">
        <v>302</v>
      </c>
      <c r="I76" s="10" t="s">
        <v>303</v>
      </c>
    </row>
    <row r="77" customFormat="false" ht="15" hidden="false" customHeight="false" outlineLevel="0" collapsed="false">
      <c r="B77" s="10" t="s">
        <v>111</v>
      </c>
      <c r="C77" s="18" t="n">
        <v>2018</v>
      </c>
      <c r="D77" s="10" t="s">
        <v>284</v>
      </c>
      <c r="E77" s="64" t="n">
        <v>1008.196551</v>
      </c>
      <c r="F77" s="10" t="s">
        <v>319</v>
      </c>
      <c r="G77" s="10" t="s">
        <v>286</v>
      </c>
      <c r="H77" s="65" t="s">
        <v>287</v>
      </c>
      <c r="I77" s="10" t="s">
        <v>288</v>
      </c>
    </row>
    <row r="78" customFormat="false" ht="15" hidden="false" customHeight="false" outlineLevel="0" collapsed="false">
      <c r="B78" s="10" t="s">
        <v>111</v>
      </c>
      <c r="C78" s="18" t="n">
        <v>2019</v>
      </c>
      <c r="D78" s="10" t="s">
        <v>289</v>
      </c>
      <c r="E78" s="64" t="n">
        <v>715.554664</v>
      </c>
      <c r="F78" s="10" t="s">
        <v>319</v>
      </c>
      <c r="G78" s="10" t="s">
        <v>286</v>
      </c>
      <c r="H78" s="65" t="s">
        <v>290</v>
      </c>
      <c r="I78" s="10" t="s">
        <v>291</v>
      </c>
    </row>
    <row r="79" customFormat="false" ht="15" hidden="false" customHeight="false" outlineLevel="0" collapsed="false">
      <c r="B79" s="10" t="s">
        <v>111</v>
      </c>
      <c r="C79" s="18" t="n">
        <v>2020</v>
      </c>
      <c r="D79" s="10" t="s">
        <v>292</v>
      </c>
      <c r="E79" s="64" t="n">
        <v>1426.198752</v>
      </c>
      <c r="F79" s="10" t="s">
        <v>319</v>
      </c>
      <c r="G79" s="10" t="s">
        <v>286</v>
      </c>
      <c r="H79" s="65" t="s">
        <v>293</v>
      </c>
      <c r="I79" s="10" t="s">
        <v>294</v>
      </c>
    </row>
    <row r="80" customFormat="false" ht="15" hidden="false" customHeight="false" outlineLevel="0" collapsed="false">
      <c r="B80" s="10" t="s">
        <v>111</v>
      </c>
      <c r="C80" s="18" t="n">
        <v>2021</v>
      </c>
      <c r="D80" s="10" t="s">
        <v>295</v>
      </c>
      <c r="E80" s="64" t="n">
        <v>1303.194225</v>
      </c>
      <c r="F80" s="10" t="s">
        <v>319</v>
      </c>
      <c r="G80" s="10" t="s">
        <v>286</v>
      </c>
      <c r="H80" s="65" t="s">
        <v>296</v>
      </c>
      <c r="I80" s="10" t="s">
        <v>297</v>
      </c>
    </row>
    <row r="81" customFormat="false" ht="15" hidden="false" customHeight="false" outlineLevel="0" collapsed="false">
      <c r="B81" s="10" t="s">
        <v>111</v>
      </c>
      <c r="C81" s="18" t="n">
        <v>2022</v>
      </c>
      <c r="D81" s="10" t="s">
        <v>298</v>
      </c>
      <c r="E81" s="64" t="n">
        <v>1224.215638</v>
      </c>
      <c r="F81" s="10" t="s">
        <v>319</v>
      </c>
      <c r="G81" s="10" t="s">
        <v>286</v>
      </c>
      <c r="H81" s="65" t="s">
        <v>299</v>
      </c>
      <c r="I81" s="10" t="s">
        <v>300</v>
      </c>
    </row>
    <row r="82" customFormat="false" ht="15" hidden="false" customHeight="false" outlineLevel="0" collapsed="false">
      <c r="B82" s="10" t="s">
        <v>111</v>
      </c>
      <c r="C82" s="18" t="n">
        <v>2023</v>
      </c>
      <c r="D82" s="10" t="s">
        <v>301</v>
      </c>
      <c r="E82" s="64" t="n">
        <v>1221.791713</v>
      </c>
      <c r="F82" s="10" t="s">
        <v>319</v>
      </c>
      <c r="G82" s="10" t="s">
        <v>286</v>
      </c>
      <c r="H82" s="65" t="s">
        <v>302</v>
      </c>
      <c r="I82" s="10" t="s">
        <v>303</v>
      </c>
    </row>
    <row r="83" customFormat="false" ht="15" hidden="false" customHeight="false" outlineLevel="0" collapsed="false">
      <c r="B83" s="10" t="s">
        <v>111</v>
      </c>
      <c r="C83" s="18" t="n">
        <v>2024</v>
      </c>
      <c r="D83" s="10" t="s">
        <v>304</v>
      </c>
      <c r="E83" s="64" t="n">
        <v>698.992385</v>
      </c>
      <c r="F83" s="10" t="s">
        <v>319</v>
      </c>
      <c r="G83" s="10" t="s">
        <v>286</v>
      </c>
      <c r="H83" s="65" t="s">
        <v>302</v>
      </c>
      <c r="I83" s="10" t="s">
        <v>303</v>
      </c>
    </row>
    <row r="84" customFormat="false" ht="15" hidden="false" customHeight="false" outlineLevel="0" collapsed="false">
      <c r="B84" s="10" t="s">
        <v>111</v>
      </c>
      <c r="C84" s="18" t="n">
        <v>2025</v>
      </c>
      <c r="D84" s="10" t="s">
        <v>305</v>
      </c>
      <c r="E84" s="64" t="n">
        <v>599.402928</v>
      </c>
      <c r="F84" s="10" t="s">
        <v>319</v>
      </c>
      <c r="G84" s="10" t="s">
        <v>286</v>
      </c>
      <c r="H84" s="65" t="s">
        <v>302</v>
      </c>
      <c r="I84" s="10" t="s">
        <v>303</v>
      </c>
    </row>
    <row r="85" customFormat="false" ht="15" hidden="false" customHeight="false" outlineLevel="0" collapsed="false">
      <c r="B85" s="10" t="s">
        <v>320</v>
      </c>
      <c r="C85" s="18" t="n">
        <v>2018</v>
      </c>
      <c r="D85" s="10" t="s">
        <v>284</v>
      </c>
      <c r="E85" s="64" t="n">
        <v>2.26</v>
      </c>
      <c r="F85" s="10" t="s">
        <v>321</v>
      </c>
      <c r="G85" s="10" t="s">
        <v>286</v>
      </c>
      <c r="H85" s="65" t="s">
        <v>287</v>
      </c>
      <c r="I85" s="10" t="s">
        <v>288</v>
      </c>
    </row>
    <row r="86" customFormat="false" ht="15" hidden="false" customHeight="false" outlineLevel="0" collapsed="false">
      <c r="B86" s="10" t="s">
        <v>320</v>
      </c>
      <c r="C86" s="18" t="n">
        <v>2019</v>
      </c>
      <c r="D86" s="10" t="s">
        <v>289</v>
      </c>
      <c r="E86" s="64" t="n">
        <v>1.62</v>
      </c>
      <c r="F86" s="10" t="s">
        <v>321</v>
      </c>
      <c r="G86" s="10" t="s">
        <v>286</v>
      </c>
      <c r="H86" s="65" t="s">
        <v>290</v>
      </c>
      <c r="I86" s="10" t="s">
        <v>291</v>
      </c>
    </row>
    <row r="87" customFormat="false" ht="15" hidden="false" customHeight="false" outlineLevel="0" collapsed="false">
      <c r="B87" s="10" t="s">
        <v>320</v>
      </c>
      <c r="C87" s="18" t="n">
        <v>2020</v>
      </c>
      <c r="D87" s="10" t="s">
        <v>292</v>
      </c>
      <c r="E87" s="64" t="n">
        <v>3.27</v>
      </c>
      <c r="F87" s="10" t="s">
        <v>321</v>
      </c>
      <c r="G87" s="10" t="s">
        <v>286</v>
      </c>
      <c r="H87" s="65" t="s">
        <v>293</v>
      </c>
      <c r="I87" s="10" t="s">
        <v>294</v>
      </c>
    </row>
    <row r="88" customFormat="false" ht="15" hidden="false" customHeight="false" outlineLevel="0" collapsed="false">
      <c r="B88" s="10" t="s">
        <v>320</v>
      </c>
      <c r="C88" s="18" t="n">
        <v>2021</v>
      </c>
      <c r="D88" s="10" t="s">
        <v>295</v>
      </c>
      <c r="E88" s="64" t="n">
        <v>3.02</v>
      </c>
      <c r="F88" s="10" t="s">
        <v>321</v>
      </c>
      <c r="G88" s="10" t="s">
        <v>286</v>
      </c>
      <c r="H88" s="65" t="s">
        <v>296</v>
      </c>
      <c r="I88" s="10" t="s">
        <v>297</v>
      </c>
    </row>
    <row r="89" customFormat="false" ht="15" hidden="false" customHeight="false" outlineLevel="0" collapsed="false">
      <c r="B89" s="10" t="s">
        <v>320</v>
      </c>
      <c r="C89" s="18" t="n">
        <v>2022</v>
      </c>
      <c r="D89" s="10" t="s">
        <v>298</v>
      </c>
      <c r="E89" s="64" t="n">
        <v>2.86</v>
      </c>
      <c r="F89" s="10" t="s">
        <v>321</v>
      </c>
      <c r="G89" s="10" t="s">
        <v>286</v>
      </c>
      <c r="H89" s="65" t="s">
        <v>299</v>
      </c>
      <c r="I89" s="10" t="s">
        <v>300</v>
      </c>
    </row>
    <row r="90" customFormat="false" ht="15" hidden="false" customHeight="false" outlineLevel="0" collapsed="false">
      <c r="B90" s="10" t="s">
        <v>320</v>
      </c>
      <c r="C90" s="18" t="n">
        <v>2023</v>
      </c>
      <c r="D90" s="10" t="s">
        <v>301</v>
      </c>
      <c r="E90" s="64" t="n">
        <v>2.89</v>
      </c>
      <c r="F90" s="10" t="s">
        <v>321</v>
      </c>
      <c r="G90" s="10" t="s">
        <v>286</v>
      </c>
      <c r="H90" s="65" t="s">
        <v>302</v>
      </c>
      <c r="I90" s="10" t="s">
        <v>303</v>
      </c>
    </row>
    <row r="91" customFormat="false" ht="15" hidden="false" customHeight="false" outlineLevel="0" collapsed="false">
      <c r="B91" s="10" t="s">
        <v>320</v>
      </c>
      <c r="C91" s="18" t="n">
        <v>2024</v>
      </c>
      <c r="D91" s="10" t="s">
        <v>304</v>
      </c>
      <c r="E91" s="64" t="n">
        <v>1.67</v>
      </c>
      <c r="F91" s="10" t="s">
        <v>321</v>
      </c>
      <c r="G91" s="10" t="s">
        <v>286</v>
      </c>
      <c r="H91" s="65" t="s">
        <v>302</v>
      </c>
      <c r="I91" s="10" t="s">
        <v>303</v>
      </c>
    </row>
    <row r="92" customFormat="false" ht="15" hidden="false" customHeight="false" outlineLevel="0" collapsed="false">
      <c r="B92" s="10" t="s">
        <v>320</v>
      </c>
      <c r="C92" s="18" t="n">
        <v>2025</v>
      </c>
      <c r="D92" s="10" t="s">
        <v>305</v>
      </c>
      <c r="E92" s="64" t="n">
        <v>1.45</v>
      </c>
      <c r="F92" s="10" t="s">
        <v>321</v>
      </c>
      <c r="G92" s="10" t="s">
        <v>286</v>
      </c>
      <c r="H92" s="65" t="s">
        <v>302</v>
      </c>
      <c r="I92" s="10" t="s">
        <v>303</v>
      </c>
    </row>
    <row r="93" customFormat="false" ht="15" hidden="false" customHeight="false" outlineLevel="0" collapsed="false">
      <c r="B93" s="10" t="s">
        <v>117</v>
      </c>
      <c r="C93" s="18" t="n">
        <v>2018</v>
      </c>
      <c r="D93" s="10" t="s">
        <v>284</v>
      </c>
      <c r="E93" s="64" t="n">
        <v>11909.1</v>
      </c>
      <c r="F93" s="10" t="s">
        <v>322</v>
      </c>
      <c r="G93" s="10" t="s">
        <v>286</v>
      </c>
      <c r="H93" s="65" t="s">
        <v>308</v>
      </c>
      <c r="I93" s="10" t="s">
        <v>309</v>
      </c>
    </row>
    <row r="94" customFormat="false" ht="15" hidden="false" customHeight="false" outlineLevel="0" collapsed="false">
      <c r="B94" s="10" t="s">
        <v>117</v>
      </c>
      <c r="C94" s="18" t="n">
        <v>2019</v>
      </c>
      <c r="D94" s="10" t="s">
        <v>289</v>
      </c>
      <c r="E94" s="64" t="n">
        <v>11313.645</v>
      </c>
      <c r="F94" s="10" t="s">
        <v>322</v>
      </c>
      <c r="G94" s="10" t="s">
        <v>286</v>
      </c>
      <c r="H94" s="65" t="s">
        <v>287</v>
      </c>
      <c r="I94" s="10" t="s">
        <v>288</v>
      </c>
    </row>
    <row r="95" customFormat="false" ht="15" hidden="false" customHeight="false" outlineLevel="0" collapsed="false">
      <c r="B95" s="10" t="s">
        <v>117</v>
      </c>
      <c r="C95" s="18" t="n">
        <v>2020</v>
      </c>
      <c r="D95" s="10" t="s">
        <v>292</v>
      </c>
      <c r="E95" s="64" t="n">
        <v>13463.23755</v>
      </c>
      <c r="F95" s="10" t="s">
        <v>322</v>
      </c>
      <c r="G95" s="10" t="s">
        <v>286</v>
      </c>
      <c r="H95" s="65" t="s">
        <v>290</v>
      </c>
      <c r="I95" s="10" t="s">
        <v>291</v>
      </c>
    </row>
    <row r="96" customFormat="false" ht="15" hidden="false" customHeight="false" outlineLevel="0" collapsed="false">
      <c r="B96" s="10" t="s">
        <v>117</v>
      </c>
      <c r="C96" s="18" t="n">
        <v>2021</v>
      </c>
      <c r="D96" s="10" t="s">
        <v>295</v>
      </c>
      <c r="E96" s="64" t="n">
        <v>14136.399428</v>
      </c>
      <c r="F96" s="10" t="s">
        <v>322</v>
      </c>
      <c r="G96" s="10" t="s">
        <v>286</v>
      </c>
      <c r="H96" s="65" t="s">
        <v>293</v>
      </c>
      <c r="I96" s="10" t="s">
        <v>294</v>
      </c>
    </row>
    <row r="97" customFormat="false" ht="15" hidden="false" customHeight="false" outlineLevel="0" collapsed="false">
      <c r="B97" s="10" t="s">
        <v>117</v>
      </c>
      <c r="C97" s="18" t="n">
        <v>2022</v>
      </c>
      <c r="D97" s="10" t="s">
        <v>298</v>
      </c>
      <c r="E97" s="64" t="n">
        <v>15550.03937</v>
      </c>
      <c r="F97" s="10" t="s">
        <v>322</v>
      </c>
      <c r="G97" s="10" t="s">
        <v>286</v>
      </c>
      <c r="H97" s="65" t="s">
        <v>296</v>
      </c>
      <c r="I97" s="10" t="s">
        <v>297</v>
      </c>
    </row>
    <row r="98" customFormat="false" ht="15" hidden="false" customHeight="false" outlineLevel="0" collapsed="false">
      <c r="B98" s="10" t="s">
        <v>117</v>
      </c>
      <c r="C98" s="18" t="n">
        <v>2023</v>
      </c>
      <c r="D98" s="10" t="s">
        <v>301</v>
      </c>
      <c r="E98" s="64" t="n">
        <v>15550.03937</v>
      </c>
      <c r="F98" s="10" t="s">
        <v>322</v>
      </c>
      <c r="G98" s="10" t="s">
        <v>286</v>
      </c>
      <c r="H98" s="65" t="s">
        <v>299</v>
      </c>
      <c r="I98" s="10" t="s">
        <v>300</v>
      </c>
    </row>
    <row r="99" customFormat="false" ht="15" hidden="false" customHeight="false" outlineLevel="0" collapsed="false">
      <c r="B99" s="10" t="s">
        <v>117</v>
      </c>
      <c r="C99" s="18" t="n">
        <v>2024</v>
      </c>
      <c r="D99" s="10" t="s">
        <v>304</v>
      </c>
      <c r="E99" s="64" t="n">
        <v>13995.035433</v>
      </c>
      <c r="F99" s="10" t="s">
        <v>322</v>
      </c>
      <c r="G99" s="10" t="s">
        <v>286</v>
      </c>
      <c r="H99" s="65" t="s">
        <v>302</v>
      </c>
      <c r="I99" s="10" t="s">
        <v>303</v>
      </c>
    </row>
    <row r="100" customFormat="false" ht="15" hidden="false" customHeight="false" outlineLevel="0" collapsed="false">
      <c r="B100" s="10" t="s">
        <v>117</v>
      </c>
      <c r="C100" s="18" t="n">
        <v>2025</v>
      </c>
      <c r="D100" s="10" t="s">
        <v>305</v>
      </c>
      <c r="E100" s="64" t="n">
        <v>13995.035433</v>
      </c>
      <c r="F100" s="10" t="s">
        <v>322</v>
      </c>
      <c r="G100" s="10" t="s">
        <v>286</v>
      </c>
      <c r="H100" s="65" t="s">
        <v>302</v>
      </c>
      <c r="I100" s="10" t="s">
        <v>303</v>
      </c>
    </row>
    <row r="101" customFormat="false" ht="15" hidden="false" customHeight="false" outlineLevel="0" collapsed="false">
      <c r="B101" s="10" t="s">
        <v>323</v>
      </c>
      <c r="C101" s="18" t="n">
        <v>2018</v>
      </c>
      <c r="D101" s="10" t="s">
        <v>284</v>
      </c>
      <c r="E101" s="64" t="n">
        <v>1701.3</v>
      </c>
      <c r="F101" s="10" t="s">
        <v>323</v>
      </c>
      <c r="G101" s="10" t="s">
        <v>286</v>
      </c>
      <c r="H101" s="65" t="s">
        <v>308</v>
      </c>
      <c r="I101" s="10" t="s">
        <v>309</v>
      </c>
    </row>
    <row r="102" customFormat="false" ht="15" hidden="false" customHeight="false" outlineLevel="0" collapsed="false">
      <c r="B102" s="10" t="s">
        <v>323</v>
      </c>
      <c r="C102" s="18" t="n">
        <v>2019</v>
      </c>
      <c r="D102" s="10" t="s">
        <v>289</v>
      </c>
      <c r="E102" s="64" t="n">
        <v>1616.235</v>
      </c>
      <c r="F102" s="10" t="s">
        <v>323</v>
      </c>
      <c r="G102" s="10" t="s">
        <v>286</v>
      </c>
      <c r="H102" s="65" t="s">
        <v>287</v>
      </c>
      <c r="I102" s="10" t="s">
        <v>288</v>
      </c>
    </row>
    <row r="103" customFormat="false" ht="15" hidden="false" customHeight="false" outlineLevel="0" collapsed="false">
      <c r="B103" s="10" t="s">
        <v>323</v>
      </c>
      <c r="C103" s="18" t="n">
        <v>2020</v>
      </c>
      <c r="D103" s="10" t="s">
        <v>292</v>
      </c>
      <c r="E103" s="64" t="n">
        <v>1923.31965</v>
      </c>
      <c r="F103" s="10" t="s">
        <v>323</v>
      </c>
      <c r="G103" s="10" t="s">
        <v>286</v>
      </c>
      <c r="H103" s="65" t="s">
        <v>290</v>
      </c>
      <c r="I103" s="10" t="s">
        <v>291</v>
      </c>
    </row>
    <row r="104" customFormat="false" ht="15" hidden="false" customHeight="false" outlineLevel="0" collapsed="false">
      <c r="B104" s="10" t="s">
        <v>323</v>
      </c>
      <c r="C104" s="18" t="n">
        <v>2021</v>
      </c>
      <c r="D104" s="10" t="s">
        <v>295</v>
      </c>
      <c r="E104" s="64" t="n">
        <v>2019.485632</v>
      </c>
      <c r="F104" s="10" t="s">
        <v>323</v>
      </c>
      <c r="G104" s="10" t="s">
        <v>286</v>
      </c>
      <c r="H104" s="65" t="s">
        <v>293</v>
      </c>
      <c r="I104" s="10" t="s">
        <v>294</v>
      </c>
    </row>
    <row r="105" customFormat="false" ht="15" hidden="false" customHeight="false" outlineLevel="0" collapsed="false">
      <c r="B105" s="10" t="s">
        <v>323</v>
      </c>
      <c r="C105" s="18" t="n">
        <v>2022</v>
      </c>
      <c r="D105" s="10" t="s">
        <v>298</v>
      </c>
      <c r="E105" s="64" t="n">
        <v>2221.434196</v>
      </c>
      <c r="F105" s="10" t="s">
        <v>323</v>
      </c>
      <c r="G105" s="10" t="s">
        <v>286</v>
      </c>
      <c r="H105" s="65" t="s">
        <v>296</v>
      </c>
      <c r="I105" s="10" t="s">
        <v>297</v>
      </c>
    </row>
    <row r="106" customFormat="false" ht="15" hidden="false" customHeight="false" outlineLevel="0" collapsed="false">
      <c r="B106" s="10" t="s">
        <v>323</v>
      </c>
      <c r="C106" s="18" t="n">
        <v>2023</v>
      </c>
      <c r="D106" s="10" t="s">
        <v>301</v>
      </c>
      <c r="E106" s="64" t="n">
        <v>2221.434196</v>
      </c>
      <c r="F106" s="10" t="s">
        <v>323</v>
      </c>
      <c r="G106" s="10" t="s">
        <v>286</v>
      </c>
      <c r="H106" s="65" t="s">
        <v>299</v>
      </c>
      <c r="I106" s="10" t="s">
        <v>300</v>
      </c>
    </row>
    <row r="107" customFormat="false" ht="15" hidden="false" customHeight="false" outlineLevel="0" collapsed="false">
      <c r="B107" s="10" t="s">
        <v>323</v>
      </c>
      <c r="C107" s="18" t="n">
        <v>2024</v>
      </c>
      <c r="D107" s="10" t="s">
        <v>304</v>
      </c>
      <c r="E107" s="64" t="n">
        <v>1999.290776</v>
      </c>
      <c r="F107" s="10" t="s">
        <v>323</v>
      </c>
      <c r="G107" s="10" t="s">
        <v>286</v>
      </c>
      <c r="H107" s="65" t="s">
        <v>302</v>
      </c>
      <c r="I107" s="10" t="s">
        <v>303</v>
      </c>
    </row>
    <row r="108" customFormat="false" ht="15" hidden="false" customHeight="false" outlineLevel="0" collapsed="false">
      <c r="B108" s="10" t="s">
        <v>323</v>
      </c>
      <c r="C108" s="18" t="n">
        <v>2025</v>
      </c>
      <c r="D108" s="10" t="s">
        <v>305</v>
      </c>
      <c r="E108" s="64" t="n">
        <v>1999.290776</v>
      </c>
      <c r="F108" s="10" t="s">
        <v>323</v>
      </c>
      <c r="G108" s="10" t="s">
        <v>286</v>
      </c>
      <c r="H108" s="65" t="s">
        <v>302</v>
      </c>
      <c r="I108" s="10" t="s">
        <v>303</v>
      </c>
    </row>
    <row r="109" customFormat="false" ht="15" hidden="false" customHeight="false" outlineLevel="0" collapsed="false">
      <c r="B109" s="10" t="s">
        <v>99</v>
      </c>
      <c r="C109" s="18" t="n">
        <v>2018</v>
      </c>
      <c r="D109" s="10" t="s">
        <v>284</v>
      </c>
      <c r="E109" s="64" t="n">
        <v>14971.44</v>
      </c>
      <c r="F109" s="10" t="s">
        <v>324</v>
      </c>
      <c r="G109" s="10" t="s">
        <v>286</v>
      </c>
      <c r="H109" s="65" t="s">
        <v>287</v>
      </c>
      <c r="I109" s="10" t="s">
        <v>288</v>
      </c>
    </row>
    <row r="110" customFormat="false" ht="15" hidden="false" customHeight="false" outlineLevel="0" collapsed="false">
      <c r="B110" s="10" t="s">
        <v>99</v>
      </c>
      <c r="C110" s="18" t="n">
        <v>2019</v>
      </c>
      <c r="D110" s="10" t="s">
        <v>289</v>
      </c>
      <c r="E110" s="64" t="n">
        <v>14222.868</v>
      </c>
      <c r="F110" s="10" t="s">
        <v>324</v>
      </c>
      <c r="G110" s="10" t="s">
        <v>286</v>
      </c>
      <c r="H110" s="65" t="s">
        <v>290</v>
      </c>
      <c r="I110" s="10" t="s">
        <v>291</v>
      </c>
    </row>
    <row r="111" customFormat="false" ht="15" hidden="false" customHeight="false" outlineLevel="0" collapsed="false">
      <c r="B111" s="10" t="s">
        <v>99</v>
      </c>
      <c r="C111" s="18" t="n">
        <v>2020</v>
      </c>
      <c r="D111" s="10" t="s">
        <v>292</v>
      </c>
      <c r="E111" s="64" t="n">
        <v>16925.21292</v>
      </c>
      <c r="F111" s="10" t="s">
        <v>324</v>
      </c>
      <c r="G111" s="10" t="s">
        <v>286</v>
      </c>
      <c r="H111" s="65" t="s">
        <v>293</v>
      </c>
      <c r="I111" s="10" t="s">
        <v>294</v>
      </c>
    </row>
    <row r="112" customFormat="false" ht="15" hidden="false" customHeight="false" outlineLevel="0" collapsed="false">
      <c r="B112" s="10" t="s">
        <v>99</v>
      </c>
      <c r="C112" s="18" t="n">
        <v>2021</v>
      </c>
      <c r="D112" s="10" t="s">
        <v>295</v>
      </c>
      <c r="E112" s="64" t="n">
        <v>17771.473566</v>
      </c>
      <c r="F112" s="10" t="s">
        <v>324</v>
      </c>
      <c r="G112" s="10" t="s">
        <v>286</v>
      </c>
      <c r="H112" s="65" t="s">
        <v>296</v>
      </c>
      <c r="I112" s="10" t="s">
        <v>297</v>
      </c>
    </row>
    <row r="113" customFormat="false" ht="15" hidden="false" customHeight="false" outlineLevel="0" collapsed="false">
      <c r="B113" s="10" t="s">
        <v>99</v>
      </c>
      <c r="C113" s="18" t="n">
        <v>2022</v>
      </c>
      <c r="D113" s="10" t="s">
        <v>298</v>
      </c>
      <c r="E113" s="64" t="n">
        <v>19548.620923</v>
      </c>
      <c r="F113" s="10" t="s">
        <v>324</v>
      </c>
      <c r="G113" s="10" t="s">
        <v>286</v>
      </c>
      <c r="H113" s="65" t="s">
        <v>299</v>
      </c>
      <c r="I113" s="10" t="s">
        <v>300</v>
      </c>
    </row>
    <row r="114" customFormat="false" ht="15" hidden="false" customHeight="false" outlineLevel="0" collapsed="false">
      <c r="B114" s="10" t="s">
        <v>99</v>
      </c>
      <c r="C114" s="18" t="n">
        <v>2023</v>
      </c>
      <c r="D114" s="10" t="s">
        <v>301</v>
      </c>
      <c r="E114" s="64" t="n">
        <v>19548.620923</v>
      </c>
      <c r="F114" s="10" t="s">
        <v>324</v>
      </c>
      <c r="G114" s="10" t="s">
        <v>286</v>
      </c>
      <c r="H114" s="65" t="s">
        <v>302</v>
      </c>
      <c r="I114" s="10" t="s">
        <v>303</v>
      </c>
    </row>
    <row r="115" customFormat="false" ht="15" hidden="false" customHeight="false" outlineLevel="0" collapsed="false">
      <c r="B115" s="10" t="s">
        <v>99</v>
      </c>
      <c r="C115" s="18" t="n">
        <v>2024</v>
      </c>
      <c r="D115" s="10" t="s">
        <v>304</v>
      </c>
      <c r="E115" s="64" t="n">
        <v>17593.75883</v>
      </c>
      <c r="F115" s="10" t="s">
        <v>324</v>
      </c>
      <c r="G115" s="10" t="s">
        <v>286</v>
      </c>
      <c r="H115" s="65" t="s">
        <v>302</v>
      </c>
      <c r="I115" s="10" t="s">
        <v>303</v>
      </c>
    </row>
    <row r="116" customFormat="false" ht="15" hidden="false" customHeight="false" outlineLevel="0" collapsed="false">
      <c r="B116" s="10" t="s">
        <v>99</v>
      </c>
      <c r="C116" s="18" t="n">
        <v>2025</v>
      </c>
      <c r="D116" s="10" t="s">
        <v>305</v>
      </c>
      <c r="E116" s="64" t="n">
        <v>17593.75883</v>
      </c>
      <c r="F116" s="10" t="s">
        <v>324</v>
      </c>
      <c r="G116" s="10" t="s">
        <v>286</v>
      </c>
      <c r="H116" s="65" t="s">
        <v>302</v>
      </c>
      <c r="I116" s="10" t="s">
        <v>303</v>
      </c>
    </row>
    <row r="117" customFormat="false" ht="15" hidden="false" customHeight="false" outlineLevel="0" collapsed="false">
      <c r="B117" s="10" t="s">
        <v>105</v>
      </c>
      <c r="C117" s="18" t="n">
        <v>2018</v>
      </c>
      <c r="D117" s="10" t="s">
        <v>284</v>
      </c>
      <c r="E117" s="64" t="n">
        <v>788.30183</v>
      </c>
      <c r="F117" s="10" t="s">
        <v>325</v>
      </c>
      <c r="G117" s="10" t="s">
        <v>286</v>
      </c>
      <c r="H117" s="65" t="s">
        <v>287</v>
      </c>
      <c r="I117" s="10" t="s">
        <v>288</v>
      </c>
    </row>
    <row r="118" customFormat="false" ht="15" hidden="false" customHeight="false" outlineLevel="0" collapsed="false">
      <c r="B118" s="10" t="s">
        <v>105</v>
      </c>
      <c r="C118" s="18" t="n">
        <v>2019</v>
      </c>
      <c r="D118" s="10" t="s">
        <v>289</v>
      </c>
      <c r="E118" s="64" t="n">
        <v>559.487186</v>
      </c>
      <c r="F118" s="10" t="s">
        <v>325</v>
      </c>
      <c r="G118" s="10" t="s">
        <v>286</v>
      </c>
      <c r="H118" s="65" t="s">
        <v>290</v>
      </c>
      <c r="I118" s="10" t="s">
        <v>291</v>
      </c>
    </row>
    <row r="119" customFormat="false" ht="15" hidden="false" customHeight="false" outlineLevel="0" collapsed="false">
      <c r="B119" s="10" t="s">
        <v>105</v>
      </c>
      <c r="C119" s="18" t="n">
        <v>2020</v>
      </c>
      <c r="D119" s="10" t="s">
        <v>292</v>
      </c>
      <c r="E119" s="64" t="n">
        <v>1115.134827</v>
      </c>
      <c r="F119" s="10" t="s">
        <v>325</v>
      </c>
      <c r="G119" s="10" t="s">
        <v>286</v>
      </c>
      <c r="H119" s="65" t="s">
        <v>293</v>
      </c>
      <c r="I119" s="10" t="s">
        <v>294</v>
      </c>
    </row>
    <row r="120" customFormat="false" ht="15" hidden="false" customHeight="false" outlineLevel="0" collapsed="false">
      <c r="B120" s="10" t="s">
        <v>105</v>
      </c>
      <c r="C120" s="18" t="n">
        <v>2021</v>
      </c>
      <c r="D120" s="10" t="s">
        <v>295</v>
      </c>
      <c r="E120" s="64" t="n">
        <v>1018.958447</v>
      </c>
      <c r="F120" s="10" t="s">
        <v>325</v>
      </c>
      <c r="G120" s="10" t="s">
        <v>286</v>
      </c>
      <c r="H120" s="65" t="s">
        <v>296</v>
      </c>
      <c r="I120" s="10" t="s">
        <v>297</v>
      </c>
    </row>
    <row r="121" customFormat="false" ht="15" hidden="false" customHeight="false" outlineLevel="0" collapsed="false">
      <c r="B121" s="10" t="s">
        <v>105</v>
      </c>
      <c r="C121" s="18" t="n">
        <v>2022</v>
      </c>
      <c r="D121" s="10" t="s">
        <v>298</v>
      </c>
      <c r="E121" s="64" t="n">
        <v>957.205643</v>
      </c>
      <c r="F121" s="10" t="s">
        <v>325</v>
      </c>
      <c r="G121" s="10" t="s">
        <v>286</v>
      </c>
      <c r="H121" s="65" t="s">
        <v>299</v>
      </c>
      <c r="I121" s="10" t="s">
        <v>300</v>
      </c>
    </row>
    <row r="122" customFormat="false" ht="15" hidden="false" customHeight="false" outlineLevel="0" collapsed="false">
      <c r="B122" s="10" t="s">
        <v>105</v>
      </c>
      <c r="C122" s="18" t="n">
        <v>2023</v>
      </c>
      <c r="D122" s="10" t="s">
        <v>301</v>
      </c>
      <c r="E122" s="64" t="n">
        <v>955.310393</v>
      </c>
      <c r="F122" s="10" t="s">
        <v>325</v>
      </c>
      <c r="G122" s="10" t="s">
        <v>286</v>
      </c>
      <c r="H122" s="65" t="s">
        <v>302</v>
      </c>
      <c r="I122" s="10" t="s">
        <v>303</v>
      </c>
    </row>
    <row r="123" customFormat="false" ht="15" hidden="false" customHeight="false" outlineLevel="0" collapsed="false">
      <c r="B123" s="10" t="s">
        <v>105</v>
      </c>
      <c r="C123" s="18" t="n">
        <v>2024</v>
      </c>
      <c r="D123" s="10" t="s">
        <v>304</v>
      </c>
      <c r="E123" s="64" t="n">
        <v>546.537256</v>
      </c>
      <c r="F123" s="10" t="s">
        <v>325</v>
      </c>
      <c r="G123" s="10" t="s">
        <v>286</v>
      </c>
      <c r="H123" s="65" t="s">
        <v>302</v>
      </c>
      <c r="I123" s="10" t="s">
        <v>303</v>
      </c>
    </row>
    <row r="124" customFormat="false" ht="15" hidden="false" customHeight="false" outlineLevel="0" collapsed="false">
      <c r="B124" s="10" t="s">
        <v>105</v>
      </c>
      <c r="C124" s="18" t="n">
        <v>2025</v>
      </c>
      <c r="D124" s="10" t="s">
        <v>305</v>
      </c>
      <c r="E124" s="64" t="n">
        <v>468.668956</v>
      </c>
      <c r="F124" s="10" t="s">
        <v>325</v>
      </c>
      <c r="G124" s="10" t="s">
        <v>286</v>
      </c>
      <c r="H124" s="65" t="s">
        <v>302</v>
      </c>
      <c r="I124" s="10" t="s">
        <v>303</v>
      </c>
    </row>
    <row r="125" customFormat="false" ht="15" hidden="false" customHeight="false" outlineLevel="0" collapsed="false">
      <c r="B125" s="10" t="s">
        <v>103</v>
      </c>
      <c r="C125" s="18" t="n">
        <v>2018</v>
      </c>
      <c r="D125" s="10" t="s">
        <v>284</v>
      </c>
      <c r="E125" s="64" t="n">
        <v>342.475</v>
      </c>
      <c r="F125" s="10" t="s">
        <v>326</v>
      </c>
      <c r="G125" s="10" t="s">
        <v>286</v>
      </c>
      <c r="H125" s="65" t="s">
        <v>287</v>
      </c>
      <c r="I125" s="10" t="s">
        <v>288</v>
      </c>
    </row>
    <row r="126" customFormat="false" ht="15" hidden="false" customHeight="false" outlineLevel="0" collapsed="false">
      <c r="B126" s="10" t="s">
        <v>103</v>
      </c>
      <c r="C126" s="18" t="n">
        <v>2019</v>
      </c>
      <c r="D126" s="10" t="s">
        <v>289</v>
      </c>
      <c r="E126" s="64" t="n">
        <v>352.45</v>
      </c>
      <c r="F126" s="10" t="s">
        <v>326</v>
      </c>
      <c r="G126" s="10" t="s">
        <v>286</v>
      </c>
      <c r="H126" s="65" t="s">
        <v>290</v>
      </c>
      <c r="I126" s="10" t="s">
        <v>291</v>
      </c>
    </row>
    <row r="127" customFormat="false" ht="15" hidden="false" customHeight="false" outlineLevel="0" collapsed="false">
      <c r="B127" s="10" t="s">
        <v>103</v>
      </c>
      <c r="C127" s="18" t="n">
        <v>2020</v>
      </c>
      <c r="D127" s="10" t="s">
        <v>292</v>
      </c>
      <c r="E127" s="64" t="n">
        <v>362.425</v>
      </c>
      <c r="F127" s="10" t="s">
        <v>326</v>
      </c>
      <c r="G127" s="10" t="s">
        <v>286</v>
      </c>
      <c r="H127" s="65" t="s">
        <v>293</v>
      </c>
      <c r="I127" s="10" t="s">
        <v>294</v>
      </c>
    </row>
    <row r="128" customFormat="false" ht="15" hidden="false" customHeight="false" outlineLevel="0" collapsed="false">
      <c r="B128" s="10" t="s">
        <v>103</v>
      </c>
      <c r="C128" s="18" t="n">
        <v>2021</v>
      </c>
      <c r="D128" s="10" t="s">
        <v>295</v>
      </c>
      <c r="E128" s="64" t="n">
        <v>372.4</v>
      </c>
      <c r="F128" s="10" t="s">
        <v>326</v>
      </c>
      <c r="G128" s="10" t="s">
        <v>286</v>
      </c>
      <c r="H128" s="65" t="s">
        <v>296</v>
      </c>
      <c r="I128" s="10" t="s">
        <v>297</v>
      </c>
    </row>
    <row r="129" customFormat="false" ht="15" hidden="false" customHeight="false" outlineLevel="0" collapsed="false">
      <c r="B129" s="10" t="s">
        <v>103</v>
      </c>
      <c r="C129" s="18" t="n">
        <v>2022</v>
      </c>
      <c r="D129" s="10" t="s">
        <v>298</v>
      </c>
      <c r="E129" s="64" t="n">
        <v>382.375</v>
      </c>
      <c r="F129" s="10" t="s">
        <v>326</v>
      </c>
      <c r="G129" s="10" t="s">
        <v>286</v>
      </c>
      <c r="H129" s="65" t="s">
        <v>299</v>
      </c>
      <c r="I129" s="10" t="s">
        <v>300</v>
      </c>
    </row>
    <row r="130" customFormat="false" ht="15" hidden="false" customHeight="false" outlineLevel="0" collapsed="false">
      <c r="B130" s="10" t="s">
        <v>103</v>
      </c>
      <c r="C130" s="18" t="n">
        <v>2023</v>
      </c>
      <c r="D130" s="10" t="s">
        <v>301</v>
      </c>
      <c r="E130" s="64" t="n">
        <v>392.35</v>
      </c>
      <c r="F130" s="10" t="s">
        <v>326</v>
      </c>
      <c r="G130" s="10" t="s">
        <v>286</v>
      </c>
      <c r="H130" s="65" t="s">
        <v>302</v>
      </c>
      <c r="I130" s="10" t="s">
        <v>303</v>
      </c>
    </row>
    <row r="131" customFormat="false" ht="15" hidden="false" customHeight="false" outlineLevel="0" collapsed="false">
      <c r="B131" s="10" t="s">
        <v>103</v>
      </c>
      <c r="C131" s="18" t="n">
        <v>2024</v>
      </c>
      <c r="D131" s="10" t="s">
        <v>304</v>
      </c>
      <c r="E131" s="64" t="n">
        <v>402.325</v>
      </c>
      <c r="F131" s="10" t="s">
        <v>326</v>
      </c>
      <c r="G131" s="10" t="s">
        <v>286</v>
      </c>
      <c r="H131" s="65" t="s">
        <v>302</v>
      </c>
      <c r="I131" s="10" t="s">
        <v>303</v>
      </c>
    </row>
    <row r="132" customFormat="false" ht="15" hidden="false" customHeight="false" outlineLevel="0" collapsed="false">
      <c r="B132" s="10" t="s">
        <v>103</v>
      </c>
      <c r="C132" s="18" t="n">
        <v>2025</v>
      </c>
      <c r="D132" s="10" t="s">
        <v>305</v>
      </c>
      <c r="E132" s="64" t="n">
        <v>412.3</v>
      </c>
      <c r="F132" s="10" t="s">
        <v>326</v>
      </c>
      <c r="G132" s="10" t="s">
        <v>286</v>
      </c>
      <c r="H132" s="65" t="s">
        <v>302</v>
      </c>
      <c r="I132" s="10" t="s">
        <v>303</v>
      </c>
    </row>
    <row r="133" customFormat="false" ht="15" hidden="false" customHeight="false" outlineLevel="0" collapsed="false">
      <c r="B133" s="10" t="s">
        <v>114</v>
      </c>
      <c r="C133" s="18" t="n">
        <v>2018</v>
      </c>
      <c r="D133" s="10" t="s">
        <v>284</v>
      </c>
      <c r="E133" s="64" t="n">
        <v>5716.368</v>
      </c>
      <c r="F133" s="10" t="s">
        <v>327</v>
      </c>
      <c r="G133" s="10" t="s">
        <v>286</v>
      </c>
      <c r="H133" s="65" t="s">
        <v>308</v>
      </c>
      <c r="I133" s="10" t="s">
        <v>309</v>
      </c>
    </row>
    <row r="134" customFormat="false" ht="15" hidden="false" customHeight="false" outlineLevel="0" collapsed="false">
      <c r="B134" s="10" t="s">
        <v>114</v>
      </c>
      <c r="C134" s="18" t="n">
        <v>2019</v>
      </c>
      <c r="D134" s="10" t="s">
        <v>289</v>
      </c>
      <c r="E134" s="64" t="n">
        <v>5430.5496</v>
      </c>
      <c r="F134" s="10" t="s">
        <v>327</v>
      </c>
      <c r="G134" s="10" t="s">
        <v>286</v>
      </c>
      <c r="H134" s="65" t="s">
        <v>287</v>
      </c>
      <c r="I134" s="10" t="s">
        <v>288</v>
      </c>
    </row>
    <row r="135" customFormat="false" ht="15" hidden="false" customHeight="false" outlineLevel="0" collapsed="false">
      <c r="B135" s="10" t="s">
        <v>114</v>
      </c>
      <c r="C135" s="18" t="n">
        <v>2020</v>
      </c>
      <c r="D135" s="10" t="s">
        <v>292</v>
      </c>
      <c r="E135" s="64" t="n">
        <v>6462.354024</v>
      </c>
      <c r="F135" s="10" t="s">
        <v>327</v>
      </c>
      <c r="G135" s="10" t="s">
        <v>286</v>
      </c>
      <c r="H135" s="65" t="s">
        <v>290</v>
      </c>
      <c r="I135" s="10" t="s">
        <v>291</v>
      </c>
    </row>
    <row r="136" customFormat="false" ht="15" hidden="false" customHeight="false" outlineLevel="0" collapsed="false">
      <c r="B136" s="10" t="s">
        <v>114</v>
      </c>
      <c r="C136" s="18" t="n">
        <v>2021</v>
      </c>
      <c r="D136" s="10" t="s">
        <v>295</v>
      </c>
      <c r="E136" s="64" t="n">
        <v>6785.471725</v>
      </c>
      <c r="F136" s="10" t="s">
        <v>327</v>
      </c>
      <c r="G136" s="10" t="s">
        <v>286</v>
      </c>
      <c r="H136" s="65" t="s">
        <v>293</v>
      </c>
      <c r="I136" s="10" t="s">
        <v>294</v>
      </c>
    </row>
    <row r="137" customFormat="false" ht="15" hidden="false" customHeight="false" outlineLevel="0" collapsed="false">
      <c r="B137" s="10" t="s">
        <v>114</v>
      </c>
      <c r="C137" s="18" t="n">
        <v>2022</v>
      </c>
      <c r="D137" s="10" t="s">
        <v>298</v>
      </c>
      <c r="E137" s="64" t="n">
        <v>7464.018898</v>
      </c>
      <c r="F137" s="10" t="s">
        <v>327</v>
      </c>
      <c r="G137" s="10" t="s">
        <v>286</v>
      </c>
      <c r="H137" s="65" t="s">
        <v>296</v>
      </c>
      <c r="I137" s="10" t="s">
        <v>297</v>
      </c>
    </row>
    <row r="138" customFormat="false" ht="15" hidden="false" customHeight="false" outlineLevel="0" collapsed="false">
      <c r="B138" s="10" t="s">
        <v>114</v>
      </c>
      <c r="C138" s="18" t="n">
        <v>2023</v>
      </c>
      <c r="D138" s="10" t="s">
        <v>301</v>
      </c>
      <c r="E138" s="64" t="n">
        <v>7464.018898</v>
      </c>
      <c r="F138" s="10" t="s">
        <v>327</v>
      </c>
      <c r="G138" s="10" t="s">
        <v>286</v>
      </c>
      <c r="H138" s="65" t="s">
        <v>299</v>
      </c>
      <c r="I138" s="10" t="s">
        <v>300</v>
      </c>
    </row>
    <row r="139" customFormat="false" ht="15" hidden="false" customHeight="false" outlineLevel="0" collapsed="false">
      <c r="B139" s="10" t="s">
        <v>114</v>
      </c>
      <c r="C139" s="18" t="n">
        <v>2024</v>
      </c>
      <c r="D139" s="10" t="s">
        <v>304</v>
      </c>
      <c r="E139" s="64" t="n">
        <v>6717.617008</v>
      </c>
      <c r="F139" s="10" t="s">
        <v>327</v>
      </c>
      <c r="G139" s="10" t="s">
        <v>286</v>
      </c>
      <c r="H139" s="65" t="s">
        <v>302</v>
      </c>
      <c r="I139" s="10" t="s">
        <v>303</v>
      </c>
    </row>
    <row r="140" customFormat="false" ht="15" hidden="false" customHeight="false" outlineLevel="0" collapsed="false">
      <c r="B140" s="10" t="s">
        <v>114</v>
      </c>
      <c r="C140" s="18" t="n">
        <v>2025</v>
      </c>
      <c r="D140" s="10" t="s">
        <v>305</v>
      </c>
      <c r="E140" s="64" t="n">
        <v>6717.617008</v>
      </c>
      <c r="F140" s="10" t="s">
        <v>327</v>
      </c>
      <c r="G140" s="10" t="s">
        <v>286</v>
      </c>
      <c r="H140" s="65" t="s">
        <v>302</v>
      </c>
      <c r="I140" s="10" t="s">
        <v>303</v>
      </c>
    </row>
    <row r="141" customFormat="false" ht="15" hidden="false" customHeight="false" outlineLevel="0" collapsed="false">
      <c r="B141" s="10" t="s">
        <v>328</v>
      </c>
      <c r="C141" s="18" t="n">
        <v>2018</v>
      </c>
      <c r="D141" s="10" t="s">
        <v>284</v>
      </c>
      <c r="E141" s="64" t="n">
        <v>978.5</v>
      </c>
      <c r="F141" s="10" t="s">
        <v>329</v>
      </c>
      <c r="G141" s="10" t="s">
        <v>286</v>
      </c>
      <c r="H141" s="65" t="s">
        <v>308</v>
      </c>
      <c r="I141" s="10" t="s">
        <v>309</v>
      </c>
    </row>
    <row r="142" customFormat="false" ht="15" hidden="false" customHeight="false" outlineLevel="0" collapsed="false">
      <c r="B142" s="10" t="s">
        <v>328</v>
      </c>
      <c r="C142" s="18" t="n">
        <v>2019</v>
      </c>
      <c r="D142" s="10" t="s">
        <v>289</v>
      </c>
      <c r="E142" s="64" t="n">
        <v>1007</v>
      </c>
      <c r="F142" s="10" t="s">
        <v>329</v>
      </c>
      <c r="G142" s="10" t="s">
        <v>286</v>
      </c>
      <c r="H142" s="65" t="s">
        <v>287</v>
      </c>
      <c r="I142" s="10" t="s">
        <v>288</v>
      </c>
    </row>
    <row r="143" customFormat="false" ht="15" hidden="false" customHeight="false" outlineLevel="0" collapsed="false">
      <c r="B143" s="10" t="s">
        <v>328</v>
      </c>
      <c r="C143" s="18" t="n">
        <v>2020</v>
      </c>
      <c r="D143" s="10" t="s">
        <v>292</v>
      </c>
      <c r="E143" s="64" t="n">
        <v>1035.5</v>
      </c>
      <c r="F143" s="10" t="s">
        <v>329</v>
      </c>
      <c r="G143" s="10" t="s">
        <v>286</v>
      </c>
      <c r="H143" s="65" t="s">
        <v>290</v>
      </c>
      <c r="I143" s="10" t="s">
        <v>291</v>
      </c>
    </row>
    <row r="144" customFormat="false" ht="15" hidden="false" customHeight="false" outlineLevel="0" collapsed="false">
      <c r="B144" s="10" t="s">
        <v>328</v>
      </c>
      <c r="C144" s="18" t="n">
        <v>2021</v>
      </c>
      <c r="D144" s="10" t="s">
        <v>295</v>
      </c>
      <c r="E144" s="64" t="n">
        <v>1064</v>
      </c>
      <c r="F144" s="10" t="s">
        <v>329</v>
      </c>
      <c r="G144" s="10" t="s">
        <v>286</v>
      </c>
      <c r="H144" s="65" t="s">
        <v>293</v>
      </c>
      <c r="I144" s="10" t="s">
        <v>294</v>
      </c>
    </row>
    <row r="145" customFormat="false" ht="15" hidden="false" customHeight="false" outlineLevel="0" collapsed="false">
      <c r="B145" s="10" t="s">
        <v>328</v>
      </c>
      <c r="C145" s="18" t="n">
        <v>2022</v>
      </c>
      <c r="D145" s="10" t="s">
        <v>298</v>
      </c>
      <c r="E145" s="64" t="n">
        <v>1092.5</v>
      </c>
      <c r="F145" s="10" t="s">
        <v>329</v>
      </c>
      <c r="G145" s="10" t="s">
        <v>286</v>
      </c>
      <c r="H145" s="65" t="s">
        <v>296</v>
      </c>
      <c r="I145" s="10" t="s">
        <v>297</v>
      </c>
    </row>
    <row r="146" customFormat="false" ht="15" hidden="false" customHeight="false" outlineLevel="0" collapsed="false">
      <c r="B146" s="10" t="s">
        <v>328</v>
      </c>
      <c r="C146" s="18" t="n">
        <v>2023</v>
      </c>
      <c r="D146" s="10" t="s">
        <v>301</v>
      </c>
      <c r="E146" s="64" t="n">
        <v>1121</v>
      </c>
      <c r="F146" s="10" t="s">
        <v>329</v>
      </c>
      <c r="G146" s="10" t="s">
        <v>286</v>
      </c>
      <c r="H146" s="65" t="s">
        <v>299</v>
      </c>
      <c r="I146" s="10" t="s">
        <v>300</v>
      </c>
    </row>
    <row r="147" customFormat="false" ht="15" hidden="false" customHeight="false" outlineLevel="0" collapsed="false">
      <c r="B147" s="10" t="s">
        <v>328</v>
      </c>
      <c r="C147" s="18" t="n">
        <v>2024</v>
      </c>
      <c r="D147" s="10" t="s">
        <v>304</v>
      </c>
      <c r="E147" s="64" t="n">
        <v>1149.5</v>
      </c>
      <c r="F147" s="10" t="s">
        <v>329</v>
      </c>
      <c r="G147" s="10" t="s">
        <v>286</v>
      </c>
      <c r="H147" s="65" t="s">
        <v>302</v>
      </c>
      <c r="I147" s="10" t="s">
        <v>303</v>
      </c>
    </row>
    <row r="148" customFormat="false" ht="15" hidden="false" customHeight="false" outlineLevel="0" collapsed="false">
      <c r="B148" s="10" t="s">
        <v>328</v>
      </c>
      <c r="C148" s="18" t="n">
        <v>2025</v>
      </c>
      <c r="D148" s="10" t="s">
        <v>305</v>
      </c>
      <c r="E148" s="64" t="n">
        <v>1178</v>
      </c>
      <c r="F148" s="10" t="s">
        <v>329</v>
      </c>
      <c r="G148" s="10" t="s">
        <v>286</v>
      </c>
      <c r="H148" s="65" t="s">
        <v>302</v>
      </c>
      <c r="I148" s="10" t="s">
        <v>303</v>
      </c>
    </row>
    <row r="149" customFormat="false" ht="15" hidden="false" customHeight="false" outlineLevel="0" collapsed="false">
      <c r="B149" s="10" t="s">
        <v>330</v>
      </c>
      <c r="C149" s="18" t="n">
        <v>2018</v>
      </c>
      <c r="D149" s="10" t="s">
        <v>284</v>
      </c>
      <c r="E149" s="64" t="n">
        <v>8806.5</v>
      </c>
      <c r="F149" s="10" t="s">
        <v>331</v>
      </c>
      <c r="G149" s="10" t="s">
        <v>286</v>
      </c>
      <c r="H149" s="65" t="s">
        <v>308</v>
      </c>
      <c r="I149" s="10" t="s">
        <v>309</v>
      </c>
    </row>
    <row r="150" customFormat="false" ht="15" hidden="false" customHeight="false" outlineLevel="0" collapsed="false">
      <c r="B150" s="10" t="s">
        <v>330</v>
      </c>
      <c r="C150" s="18" t="n">
        <v>2019</v>
      </c>
      <c r="D150" s="10" t="s">
        <v>289</v>
      </c>
      <c r="E150" s="64" t="n">
        <v>9063</v>
      </c>
      <c r="F150" s="10" t="s">
        <v>331</v>
      </c>
      <c r="G150" s="10" t="s">
        <v>286</v>
      </c>
      <c r="H150" s="65" t="s">
        <v>287</v>
      </c>
      <c r="I150" s="10" t="s">
        <v>288</v>
      </c>
    </row>
    <row r="151" customFormat="false" ht="15" hidden="false" customHeight="false" outlineLevel="0" collapsed="false">
      <c r="B151" s="10" t="s">
        <v>330</v>
      </c>
      <c r="C151" s="18" t="n">
        <v>2020</v>
      </c>
      <c r="D151" s="10" t="s">
        <v>292</v>
      </c>
      <c r="E151" s="64" t="n">
        <v>9319.5</v>
      </c>
      <c r="F151" s="10" t="s">
        <v>331</v>
      </c>
      <c r="G151" s="10" t="s">
        <v>286</v>
      </c>
      <c r="H151" s="65" t="s">
        <v>290</v>
      </c>
      <c r="I151" s="10" t="s">
        <v>291</v>
      </c>
    </row>
    <row r="152" customFormat="false" ht="15" hidden="false" customHeight="false" outlineLevel="0" collapsed="false">
      <c r="B152" s="10" t="s">
        <v>330</v>
      </c>
      <c r="C152" s="18" t="n">
        <v>2021</v>
      </c>
      <c r="D152" s="10" t="s">
        <v>295</v>
      </c>
      <c r="E152" s="64" t="n">
        <v>9576</v>
      </c>
      <c r="F152" s="10" t="s">
        <v>331</v>
      </c>
      <c r="G152" s="10" t="s">
        <v>286</v>
      </c>
      <c r="H152" s="65" t="s">
        <v>293</v>
      </c>
      <c r="I152" s="10" t="s">
        <v>294</v>
      </c>
    </row>
    <row r="153" customFormat="false" ht="15" hidden="false" customHeight="false" outlineLevel="0" collapsed="false">
      <c r="B153" s="10" t="s">
        <v>330</v>
      </c>
      <c r="C153" s="18" t="n">
        <v>2022</v>
      </c>
      <c r="D153" s="10" t="s">
        <v>298</v>
      </c>
      <c r="E153" s="64" t="n">
        <v>9832.5</v>
      </c>
      <c r="F153" s="10" t="s">
        <v>331</v>
      </c>
      <c r="G153" s="10" t="s">
        <v>286</v>
      </c>
      <c r="H153" s="65" t="s">
        <v>296</v>
      </c>
      <c r="I153" s="10" t="s">
        <v>297</v>
      </c>
    </row>
    <row r="154" customFormat="false" ht="15" hidden="false" customHeight="false" outlineLevel="0" collapsed="false">
      <c r="B154" s="10" t="s">
        <v>330</v>
      </c>
      <c r="C154" s="18" t="n">
        <v>2023</v>
      </c>
      <c r="D154" s="10" t="s">
        <v>301</v>
      </c>
      <c r="E154" s="64" t="n">
        <v>10089</v>
      </c>
      <c r="F154" s="10" t="s">
        <v>331</v>
      </c>
      <c r="G154" s="10" t="s">
        <v>286</v>
      </c>
      <c r="H154" s="65" t="s">
        <v>299</v>
      </c>
      <c r="I154" s="10" t="s">
        <v>300</v>
      </c>
    </row>
    <row r="155" customFormat="false" ht="15" hidden="false" customHeight="false" outlineLevel="0" collapsed="false">
      <c r="B155" s="10" t="s">
        <v>330</v>
      </c>
      <c r="C155" s="18" t="n">
        <v>2024</v>
      </c>
      <c r="D155" s="10" t="s">
        <v>304</v>
      </c>
      <c r="E155" s="64" t="n">
        <v>10345.5</v>
      </c>
      <c r="F155" s="10" t="s">
        <v>331</v>
      </c>
      <c r="G155" s="10" t="s">
        <v>286</v>
      </c>
      <c r="H155" s="65" t="s">
        <v>302</v>
      </c>
      <c r="I155" s="10" t="s">
        <v>303</v>
      </c>
    </row>
    <row r="156" customFormat="false" ht="15" hidden="false" customHeight="false" outlineLevel="0" collapsed="false">
      <c r="B156" s="10" t="s">
        <v>330</v>
      </c>
      <c r="C156" s="18" t="n">
        <v>2025</v>
      </c>
      <c r="D156" s="10" t="s">
        <v>305</v>
      </c>
      <c r="E156" s="64" t="n">
        <v>10602</v>
      </c>
      <c r="F156" s="10" t="s">
        <v>331</v>
      </c>
      <c r="G156" s="10" t="s">
        <v>286</v>
      </c>
      <c r="H156" s="65" t="s">
        <v>302</v>
      </c>
      <c r="I156" s="10" t="s">
        <v>303</v>
      </c>
    </row>
    <row r="157" customFormat="false" ht="15" hidden="false" customHeight="false" outlineLevel="0" collapsed="false">
      <c r="B157" s="10" t="s">
        <v>106</v>
      </c>
      <c r="C157" s="18" t="n">
        <v>2018</v>
      </c>
      <c r="D157" s="10" t="s">
        <v>284</v>
      </c>
      <c r="E157" s="64" t="n">
        <v>3360.65517</v>
      </c>
      <c r="F157" s="10" t="s">
        <v>332</v>
      </c>
      <c r="G157" s="10" t="s">
        <v>286</v>
      </c>
      <c r="H157" s="65" t="s">
        <v>287</v>
      </c>
      <c r="I157" s="10" t="s">
        <v>288</v>
      </c>
    </row>
    <row r="158" customFormat="false" ht="15" hidden="false" customHeight="false" outlineLevel="0" collapsed="false">
      <c r="B158" s="10" t="s">
        <v>106</v>
      </c>
      <c r="C158" s="18" t="n">
        <v>2019</v>
      </c>
      <c r="D158" s="10" t="s">
        <v>289</v>
      </c>
      <c r="E158" s="64" t="n">
        <v>2385.182214</v>
      </c>
      <c r="F158" s="10" t="s">
        <v>332</v>
      </c>
      <c r="G158" s="10" t="s">
        <v>286</v>
      </c>
      <c r="H158" s="65" t="s">
        <v>290</v>
      </c>
      <c r="I158" s="10" t="s">
        <v>291</v>
      </c>
    </row>
    <row r="159" customFormat="false" ht="15" hidden="false" customHeight="false" outlineLevel="0" collapsed="false">
      <c r="B159" s="10" t="s">
        <v>106</v>
      </c>
      <c r="C159" s="18" t="n">
        <v>2020</v>
      </c>
      <c r="D159" s="10" t="s">
        <v>292</v>
      </c>
      <c r="E159" s="64" t="n">
        <v>4753.995839</v>
      </c>
      <c r="F159" s="10" t="s">
        <v>332</v>
      </c>
      <c r="G159" s="10" t="s">
        <v>286</v>
      </c>
      <c r="H159" s="65" t="s">
        <v>293</v>
      </c>
      <c r="I159" s="10" t="s">
        <v>294</v>
      </c>
    </row>
    <row r="160" customFormat="false" ht="15" hidden="false" customHeight="false" outlineLevel="0" collapsed="false">
      <c r="B160" s="10" t="s">
        <v>106</v>
      </c>
      <c r="C160" s="18" t="n">
        <v>2021</v>
      </c>
      <c r="D160" s="10" t="s">
        <v>295</v>
      </c>
      <c r="E160" s="64" t="n">
        <v>4343.980749</v>
      </c>
      <c r="F160" s="10" t="s">
        <v>332</v>
      </c>
      <c r="G160" s="10" t="s">
        <v>286</v>
      </c>
      <c r="H160" s="65" t="s">
        <v>296</v>
      </c>
      <c r="I160" s="10" t="s">
        <v>297</v>
      </c>
    </row>
    <row r="161" customFormat="false" ht="15" hidden="false" customHeight="false" outlineLevel="0" collapsed="false">
      <c r="B161" s="10" t="s">
        <v>106</v>
      </c>
      <c r="C161" s="18" t="n">
        <v>2022</v>
      </c>
      <c r="D161" s="10" t="s">
        <v>298</v>
      </c>
      <c r="E161" s="64" t="n">
        <v>4080.718794</v>
      </c>
      <c r="F161" s="10" t="s">
        <v>332</v>
      </c>
      <c r="G161" s="10" t="s">
        <v>286</v>
      </c>
      <c r="H161" s="65" t="s">
        <v>299</v>
      </c>
      <c r="I161" s="10" t="s">
        <v>300</v>
      </c>
    </row>
    <row r="162" customFormat="false" ht="15" hidden="false" customHeight="false" outlineLevel="0" collapsed="false">
      <c r="B162" s="10" t="s">
        <v>106</v>
      </c>
      <c r="C162" s="18" t="n">
        <v>2023</v>
      </c>
      <c r="D162" s="10" t="s">
        <v>301</v>
      </c>
      <c r="E162" s="64" t="n">
        <v>4072.639044</v>
      </c>
      <c r="F162" s="10" t="s">
        <v>332</v>
      </c>
      <c r="G162" s="10" t="s">
        <v>286</v>
      </c>
      <c r="H162" s="65" t="s">
        <v>302</v>
      </c>
      <c r="I162" s="10" t="s">
        <v>303</v>
      </c>
    </row>
    <row r="163" customFormat="false" ht="15" hidden="false" customHeight="false" outlineLevel="0" collapsed="false">
      <c r="B163" s="10" t="s">
        <v>106</v>
      </c>
      <c r="C163" s="18" t="n">
        <v>2024</v>
      </c>
      <c r="D163" s="10" t="s">
        <v>304</v>
      </c>
      <c r="E163" s="64" t="n">
        <v>2329.974617</v>
      </c>
      <c r="F163" s="10" t="s">
        <v>332</v>
      </c>
      <c r="G163" s="10" t="s">
        <v>286</v>
      </c>
      <c r="H163" s="65" t="s">
        <v>302</v>
      </c>
      <c r="I163" s="10" t="s">
        <v>303</v>
      </c>
    </row>
    <row r="164" customFormat="false" ht="15" hidden="false" customHeight="false" outlineLevel="0" collapsed="false">
      <c r="B164" s="10" t="s">
        <v>106</v>
      </c>
      <c r="C164" s="18" t="n">
        <v>2025</v>
      </c>
      <c r="D164" s="10" t="s">
        <v>305</v>
      </c>
      <c r="E164" s="64" t="n">
        <v>1998.009761</v>
      </c>
      <c r="F164" s="10" t="s">
        <v>332</v>
      </c>
      <c r="G164" s="10" t="s">
        <v>286</v>
      </c>
      <c r="H164" s="65" t="s">
        <v>302</v>
      </c>
      <c r="I164" s="10" t="s">
        <v>303</v>
      </c>
    </row>
    <row r="165" customFormat="false" ht="15" hidden="false" customHeight="false" outlineLevel="0" collapsed="false">
      <c r="B165" s="10" t="s">
        <v>100</v>
      </c>
      <c r="C165" s="18" t="n">
        <v>2018</v>
      </c>
      <c r="D165" s="10" t="s">
        <v>333</v>
      </c>
      <c r="E165" s="64" t="n">
        <v>4423.38</v>
      </c>
      <c r="F165" s="10" t="s">
        <v>334</v>
      </c>
      <c r="G165" s="10"/>
      <c r="H165" s="65"/>
      <c r="I165" s="10"/>
    </row>
    <row r="166" customFormat="false" ht="15" hidden="false" customHeight="false" outlineLevel="0" collapsed="false">
      <c r="B166" s="10" t="s">
        <v>100</v>
      </c>
      <c r="C166" s="18" t="n">
        <v>2019</v>
      </c>
      <c r="D166" s="10" t="s">
        <v>333</v>
      </c>
      <c r="E166" s="64" t="n">
        <v>3232.47</v>
      </c>
      <c r="F166" s="10" t="s">
        <v>334</v>
      </c>
      <c r="G166" s="10"/>
      <c r="H166" s="65"/>
      <c r="I166" s="10"/>
    </row>
    <row r="167" customFormat="false" ht="15" hidden="false" customHeight="false" outlineLevel="0" collapsed="false">
      <c r="B167" s="10" t="s">
        <v>100</v>
      </c>
      <c r="C167" s="18" t="n">
        <v>2020</v>
      </c>
      <c r="D167" s="10" t="s">
        <v>333</v>
      </c>
      <c r="E167" s="64" t="n">
        <v>6154.62288</v>
      </c>
      <c r="F167" s="10" t="s">
        <v>334</v>
      </c>
      <c r="G167" s="10"/>
      <c r="H167" s="65"/>
      <c r="I167" s="10"/>
    </row>
    <row r="168" customFormat="false" ht="15" hidden="false" customHeight="false" outlineLevel="0" collapsed="false">
      <c r="B168" s="10" t="s">
        <v>100</v>
      </c>
      <c r="C168" s="18" t="n">
        <v>2021</v>
      </c>
      <c r="D168" s="10" t="s">
        <v>333</v>
      </c>
      <c r="E168" s="64" t="n">
        <v>5654.559771</v>
      </c>
      <c r="F168" s="10" t="s">
        <v>334</v>
      </c>
      <c r="G168" s="10"/>
      <c r="H168" s="65"/>
      <c r="I168" s="10"/>
    </row>
    <row r="169" customFormat="false" ht="15" hidden="false" customHeight="false" outlineLevel="0" collapsed="false">
      <c r="B169" s="10" t="s">
        <v>100</v>
      </c>
      <c r="C169" s="18" t="n">
        <v>2022</v>
      </c>
      <c r="D169" s="10" t="s">
        <v>333</v>
      </c>
      <c r="E169" s="64" t="n">
        <v>5331.44207</v>
      </c>
      <c r="F169" s="10" t="s">
        <v>334</v>
      </c>
      <c r="G169" s="10"/>
      <c r="H169" s="65"/>
      <c r="I169" s="10"/>
    </row>
    <row r="170" customFormat="false" ht="15" hidden="false" customHeight="false" outlineLevel="0" collapsed="false">
      <c r="B170" s="10" t="s">
        <v>100</v>
      </c>
      <c r="C170" s="18" t="n">
        <v>2023</v>
      </c>
      <c r="D170" s="10" t="s">
        <v>333</v>
      </c>
      <c r="E170" s="64" t="n">
        <v>5331.44207</v>
      </c>
      <c r="F170" s="10" t="s">
        <v>334</v>
      </c>
      <c r="G170" s="10"/>
      <c r="H170" s="65"/>
      <c r="I170" s="10"/>
    </row>
    <row r="171" customFormat="false" ht="15" hidden="false" customHeight="false" outlineLevel="0" collapsed="false">
      <c r="B171" s="10" t="s">
        <v>100</v>
      </c>
      <c r="C171" s="18" t="n">
        <v>2024</v>
      </c>
      <c r="D171" s="10" t="s">
        <v>333</v>
      </c>
      <c r="E171" s="64" t="n">
        <v>3198.865242</v>
      </c>
      <c r="F171" s="10" t="s">
        <v>334</v>
      </c>
      <c r="G171" s="10"/>
      <c r="H171" s="65"/>
      <c r="I171" s="10"/>
    </row>
    <row r="172" customFormat="false" ht="15" hidden="false" customHeight="false" outlineLevel="0" collapsed="false">
      <c r="B172" s="10" t="s">
        <v>100</v>
      </c>
      <c r="C172" s="18" t="n">
        <v>2025</v>
      </c>
      <c r="D172" s="10" t="s">
        <v>333</v>
      </c>
      <c r="E172" s="64" t="n">
        <v>2799.007086</v>
      </c>
      <c r="F172" s="10" t="s">
        <v>334</v>
      </c>
      <c r="G172" s="10"/>
      <c r="H172" s="65"/>
      <c r="I172" s="10"/>
    </row>
    <row r="173" customFormat="false" ht="15" hidden="false" customHeight="false" outlineLevel="0" collapsed="false">
      <c r="B173" s="10" t="s">
        <v>115</v>
      </c>
      <c r="C173" s="18" t="n">
        <v>2018</v>
      </c>
      <c r="D173" s="10" t="s">
        <v>284</v>
      </c>
      <c r="E173" s="64" t="n">
        <v>3429.8208</v>
      </c>
      <c r="F173" s="10" t="s">
        <v>335</v>
      </c>
      <c r="G173" s="10" t="s">
        <v>286</v>
      </c>
      <c r="H173" s="65" t="s">
        <v>308</v>
      </c>
      <c r="I173" s="10" t="s">
        <v>309</v>
      </c>
    </row>
    <row r="174" customFormat="false" ht="15" hidden="false" customHeight="false" outlineLevel="0" collapsed="false">
      <c r="B174" s="10" t="s">
        <v>115</v>
      </c>
      <c r="C174" s="18" t="n">
        <v>2019</v>
      </c>
      <c r="D174" s="10" t="s">
        <v>289</v>
      </c>
      <c r="E174" s="64" t="n">
        <v>3258.32976</v>
      </c>
      <c r="F174" s="10" t="s">
        <v>335</v>
      </c>
      <c r="G174" s="10" t="s">
        <v>286</v>
      </c>
      <c r="H174" s="65" t="s">
        <v>287</v>
      </c>
      <c r="I174" s="10" t="s">
        <v>288</v>
      </c>
    </row>
    <row r="175" customFormat="false" ht="15" hidden="false" customHeight="false" outlineLevel="0" collapsed="false">
      <c r="B175" s="10" t="s">
        <v>115</v>
      </c>
      <c r="C175" s="18" t="n">
        <v>2020</v>
      </c>
      <c r="D175" s="10" t="s">
        <v>292</v>
      </c>
      <c r="E175" s="64" t="n">
        <v>3877.412414</v>
      </c>
      <c r="F175" s="10" t="s">
        <v>335</v>
      </c>
      <c r="G175" s="10" t="s">
        <v>286</v>
      </c>
      <c r="H175" s="65" t="s">
        <v>290</v>
      </c>
      <c r="I175" s="10" t="s">
        <v>291</v>
      </c>
    </row>
    <row r="176" customFormat="false" ht="15" hidden="false" customHeight="false" outlineLevel="0" collapsed="false">
      <c r="B176" s="10" t="s">
        <v>115</v>
      </c>
      <c r="C176" s="18" t="n">
        <v>2021</v>
      </c>
      <c r="D176" s="10" t="s">
        <v>295</v>
      </c>
      <c r="E176" s="64" t="n">
        <v>4071.283035</v>
      </c>
      <c r="F176" s="10" t="s">
        <v>335</v>
      </c>
      <c r="G176" s="10" t="s">
        <v>286</v>
      </c>
      <c r="H176" s="65" t="s">
        <v>293</v>
      </c>
      <c r="I176" s="10" t="s">
        <v>294</v>
      </c>
    </row>
    <row r="177" customFormat="false" ht="15" hidden="false" customHeight="false" outlineLevel="0" collapsed="false">
      <c r="B177" s="10" t="s">
        <v>115</v>
      </c>
      <c r="C177" s="18" t="n">
        <v>2022</v>
      </c>
      <c r="D177" s="10" t="s">
        <v>298</v>
      </c>
      <c r="E177" s="64" t="n">
        <v>4478.411339</v>
      </c>
      <c r="F177" s="10" t="s">
        <v>335</v>
      </c>
      <c r="G177" s="10" t="s">
        <v>286</v>
      </c>
      <c r="H177" s="65" t="s">
        <v>296</v>
      </c>
      <c r="I177" s="10" t="s">
        <v>297</v>
      </c>
    </row>
    <row r="178" customFormat="false" ht="15" hidden="false" customHeight="false" outlineLevel="0" collapsed="false">
      <c r="B178" s="10" t="s">
        <v>115</v>
      </c>
      <c r="C178" s="18" t="n">
        <v>2023</v>
      </c>
      <c r="D178" s="10" t="s">
        <v>301</v>
      </c>
      <c r="E178" s="64" t="n">
        <v>4478.411339</v>
      </c>
      <c r="F178" s="10" t="s">
        <v>335</v>
      </c>
      <c r="G178" s="10" t="s">
        <v>286</v>
      </c>
      <c r="H178" s="65" t="s">
        <v>299</v>
      </c>
      <c r="I178" s="10" t="s">
        <v>300</v>
      </c>
    </row>
    <row r="179" customFormat="false" ht="15" hidden="false" customHeight="false" outlineLevel="0" collapsed="false">
      <c r="B179" s="10" t="s">
        <v>115</v>
      </c>
      <c r="C179" s="18" t="n">
        <v>2024</v>
      </c>
      <c r="D179" s="10" t="s">
        <v>304</v>
      </c>
      <c r="E179" s="64" t="n">
        <v>4030.570205</v>
      </c>
      <c r="F179" s="10" t="s">
        <v>335</v>
      </c>
      <c r="G179" s="10" t="s">
        <v>286</v>
      </c>
      <c r="H179" s="65" t="s">
        <v>302</v>
      </c>
      <c r="I179" s="10" t="s">
        <v>303</v>
      </c>
    </row>
    <row r="180" customFormat="false" ht="15" hidden="false" customHeight="false" outlineLevel="0" collapsed="false">
      <c r="B180" s="10" t="s">
        <v>115</v>
      </c>
      <c r="C180" s="18" t="n">
        <v>2025</v>
      </c>
      <c r="D180" s="10" t="s">
        <v>305</v>
      </c>
      <c r="E180" s="64" t="n">
        <v>4030.570205</v>
      </c>
      <c r="F180" s="10" t="s">
        <v>335</v>
      </c>
      <c r="G180" s="10" t="s">
        <v>286</v>
      </c>
      <c r="H180" s="65" t="s">
        <v>302</v>
      </c>
      <c r="I180" s="10" t="s">
        <v>303</v>
      </c>
    </row>
    <row r="181" customFormat="false" ht="15" hidden="false" customHeight="false" outlineLevel="0" collapsed="false">
      <c r="B181" s="10" t="s">
        <v>336</v>
      </c>
      <c r="C181" s="18" t="n">
        <v>2018</v>
      </c>
      <c r="D181" s="10" t="s">
        <v>284</v>
      </c>
      <c r="E181" s="64" t="n">
        <v>5103.9</v>
      </c>
      <c r="F181" s="10" t="s">
        <v>337</v>
      </c>
      <c r="G181" s="10" t="s">
        <v>286</v>
      </c>
      <c r="H181" s="65" t="s">
        <v>308</v>
      </c>
      <c r="I181" s="10" t="s">
        <v>309</v>
      </c>
    </row>
    <row r="182" customFormat="false" ht="15" hidden="false" customHeight="false" outlineLevel="0" collapsed="false">
      <c r="B182" s="10" t="s">
        <v>336</v>
      </c>
      <c r="C182" s="18" t="n">
        <v>2019</v>
      </c>
      <c r="D182" s="10" t="s">
        <v>289</v>
      </c>
      <c r="E182" s="64" t="n">
        <v>4848.705</v>
      </c>
      <c r="F182" s="10" t="s">
        <v>337</v>
      </c>
      <c r="G182" s="10" t="s">
        <v>286</v>
      </c>
      <c r="H182" s="65" t="s">
        <v>287</v>
      </c>
      <c r="I182" s="10" t="s">
        <v>288</v>
      </c>
    </row>
    <row r="183" customFormat="false" ht="15" hidden="false" customHeight="false" outlineLevel="0" collapsed="false">
      <c r="B183" s="10" t="s">
        <v>336</v>
      </c>
      <c r="C183" s="18" t="n">
        <v>2020</v>
      </c>
      <c r="D183" s="10" t="s">
        <v>292</v>
      </c>
      <c r="E183" s="64" t="n">
        <v>5769.95895</v>
      </c>
      <c r="F183" s="10" t="s">
        <v>337</v>
      </c>
      <c r="G183" s="10" t="s">
        <v>286</v>
      </c>
      <c r="H183" s="65" t="s">
        <v>290</v>
      </c>
      <c r="I183" s="10" t="s">
        <v>291</v>
      </c>
    </row>
    <row r="184" customFormat="false" ht="15" hidden="false" customHeight="false" outlineLevel="0" collapsed="false">
      <c r="B184" s="10" t="s">
        <v>336</v>
      </c>
      <c r="C184" s="18" t="n">
        <v>2021</v>
      </c>
      <c r="D184" s="10" t="s">
        <v>295</v>
      </c>
      <c r="E184" s="64" t="n">
        <v>6058.456898</v>
      </c>
      <c r="F184" s="10" t="s">
        <v>337</v>
      </c>
      <c r="G184" s="10" t="s">
        <v>286</v>
      </c>
      <c r="H184" s="65" t="s">
        <v>293</v>
      </c>
      <c r="I184" s="10" t="s">
        <v>294</v>
      </c>
    </row>
    <row r="185" customFormat="false" ht="15" hidden="false" customHeight="false" outlineLevel="0" collapsed="false">
      <c r="B185" s="10" t="s">
        <v>336</v>
      </c>
      <c r="C185" s="18" t="n">
        <v>2022</v>
      </c>
      <c r="D185" s="10" t="s">
        <v>298</v>
      </c>
      <c r="E185" s="64" t="n">
        <v>6664.302587</v>
      </c>
      <c r="F185" s="10" t="s">
        <v>337</v>
      </c>
      <c r="G185" s="10" t="s">
        <v>286</v>
      </c>
      <c r="H185" s="65" t="s">
        <v>296</v>
      </c>
      <c r="I185" s="10" t="s">
        <v>297</v>
      </c>
    </row>
    <row r="186" customFormat="false" ht="15" hidden="false" customHeight="false" outlineLevel="0" collapsed="false">
      <c r="B186" s="10" t="s">
        <v>336</v>
      </c>
      <c r="C186" s="18" t="n">
        <v>2023</v>
      </c>
      <c r="D186" s="10" t="s">
        <v>301</v>
      </c>
      <c r="E186" s="64" t="n">
        <v>6664.302587</v>
      </c>
      <c r="F186" s="10" t="s">
        <v>337</v>
      </c>
      <c r="G186" s="10" t="s">
        <v>286</v>
      </c>
      <c r="H186" s="65" t="s">
        <v>299</v>
      </c>
      <c r="I186" s="10" t="s">
        <v>300</v>
      </c>
    </row>
    <row r="187" customFormat="false" ht="15" hidden="false" customHeight="false" outlineLevel="0" collapsed="false">
      <c r="B187" s="10" t="s">
        <v>336</v>
      </c>
      <c r="C187" s="18" t="n">
        <v>2024</v>
      </c>
      <c r="D187" s="10" t="s">
        <v>304</v>
      </c>
      <c r="E187" s="64" t="n">
        <v>5997.872329</v>
      </c>
      <c r="F187" s="10" t="s">
        <v>337</v>
      </c>
      <c r="G187" s="10" t="s">
        <v>286</v>
      </c>
      <c r="H187" s="65" t="s">
        <v>302</v>
      </c>
      <c r="I187" s="10" t="s">
        <v>303</v>
      </c>
    </row>
    <row r="188" customFormat="false" ht="15" hidden="false" customHeight="false" outlineLevel="0" collapsed="false">
      <c r="B188" s="10" t="s">
        <v>336</v>
      </c>
      <c r="C188" s="18" t="n">
        <v>2025</v>
      </c>
      <c r="D188" s="10" t="s">
        <v>305</v>
      </c>
      <c r="E188" s="64" t="n">
        <v>5997.872329</v>
      </c>
      <c r="F188" s="10" t="s">
        <v>337</v>
      </c>
      <c r="G188" s="10" t="s">
        <v>286</v>
      </c>
      <c r="H188" s="65" t="s">
        <v>302</v>
      </c>
      <c r="I188" s="10" t="s">
        <v>303</v>
      </c>
    </row>
    <row r="189" customFormat="false" ht="15" hidden="false" customHeight="false" outlineLevel="0" collapsed="false">
      <c r="B189" s="10" t="s">
        <v>104</v>
      </c>
      <c r="C189" s="18" t="n">
        <v>2018</v>
      </c>
      <c r="D189" s="10" t="s">
        <v>284</v>
      </c>
      <c r="E189" s="64" t="n">
        <v>4148.957</v>
      </c>
      <c r="F189" s="10" t="s">
        <v>338</v>
      </c>
      <c r="G189" s="10" t="s">
        <v>286</v>
      </c>
      <c r="H189" s="65" t="s">
        <v>287</v>
      </c>
      <c r="I189" s="10" t="s">
        <v>288</v>
      </c>
    </row>
    <row r="190" customFormat="false" ht="15" hidden="false" customHeight="false" outlineLevel="0" collapsed="false">
      <c r="B190" s="10" t="s">
        <v>104</v>
      </c>
      <c r="C190" s="18" t="n">
        <v>2019</v>
      </c>
      <c r="D190" s="10" t="s">
        <v>289</v>
      </c>
      <c r="E190" s="64" t="n">
        <v>2944.6694</v>
      </c>
      <c r="F190" s="10" t="s">
        <v>338</v>
      </c>
      <c r="G190" s="10" t="s">
        <v>286</v>
      </c>
      <c r="H190" s="65" t="s">
        <v>290</v>
      </c>
      <c r="I190" s="10" t="s">
        <v>291</v>
      </c>
    </row>
    <row r="191" customFormat="false" ht="15" hidden="false" customHeight="false" outlineLevel="0" collapsed="false">
      <c r="B191" s="10" t="s">
        <v>104</v>
      </c>
      <c r="C191" s="18" t="n">
        <v>2020</v>
      </c>
      <c r="D191" s="10" t="s">
        <v>292</v>
      </c>
      <c r="E191" s="64" t="n">
        <v>5869.130666</v>
      </c>
      <c r="F191" s="10" t="s">
        <v>338</v>
      </c>
      <c r="G191" s="10" t="s">
        <v>286</v>
      </c>
      <c r="H191" s="65" t="s">
        <v>293</v>
      </c>
      <c r="I191" s="10" t="s">
        <v>294</v>
      </c>
    </row>
    <row r="192" customFormat="false" ht="15" hidden="false" customHeight="false" outlineLevel="0" collapsed="false">
      <c r="B192" s="10" t="s">
        <v>104</v>
      </c>
      <c r="C192" s="18" t="n">
        <v>2021</v>
      </c>
      <c r="D192" s="10" t="s">
        <v>295</v>
      </c>
      <c r="E192" s="64" t="n">
        <v>5362.939196</v>
      </c>
      <c r="F192" s="10" t="s">
        <v>338</v>
      </c>
      <c r="G192" s="10" t="s">
        <v>286</v>
      </c>
      <c r="H192" s="65" t="s">
        <v>296</v>
      </c>
      <c r="I192" s="10" t="s">
        <v>297</v>
      </c>
    </row>
    <row r="193" customFormat="false" ht="15" hidden="false" customHeight="false" outlineLevel="0" collapsed="false">
      <c r="B193" s="10" t="s">
        <v>104</v>
      </c>
      <c r="C193" s="18" t="n">
        <v>2022</v>
      </c>
      <c r="D193" s="10" t="s">
        <v>298</v>
      </c>
      <c r="E193" s="64" t="n">
        <v>5037.924438</v>
      </c>
      <c r="F193" s="10" t="s">
        <v>338</v>
      </c>
      <c r="G193" s="10" t="s">
        <v>286</v>
      </c>
      <c r="H193" s="65" t="s">
        <v>299</v>
      </c>
      <c r="I193" s="10" t="s">
        <v>300</v>
      </c>
    </row>
    <row r="194" customFormat="false" ht="15" hidden="false" customHeight="false" outlineLevel="0" collapsed="false">
      <c r="B194" s="10" t="s">
        <v>104</v>
      </c>
      <c r="C194" s="18" t="n">
        <v>2023</v>
      </c>
      <c r="D194" s="10" t="s">
        <v>301</v>
      </c>
      <c r="E194" s="64" t="n">
        <v>5027.949438</v>
      </c>
      <c r="F194" s="10" t="s">
        <v>338</v>
      </c>
      <c r="G194" s="10" t="s">
        <v>286</v>
      </c>
      <c r="H194" s="65" t="s">
        <v>302</v>
      </c>
      <c r="I194" s="10" t="s">
        <v>303</v>
      </c>
    </row>
    <row r="195" customFormat="false" ht="15" hidden="false" customHeight="false" outlineLevel="0" collapsed="false">
      <c r="B195" s="10" t="s">
        <v>104</v>
      </c>
      <c r="C195" s="18" t="n">
        <v>2024</v>
      </c>
      <c r="D195" s="10" t="s">
        <v>304</v>
      </c>
      <c r="E195" s="64" t="n">
        <v>2876.511873</v>
      </c>
      <c r="F195" s="10" t="s">
        <v>338</v>
      </c>
      <c r="G195" s="10" t="s">
        <v>286</v>
      </c>
      <c r="H195" s="65" t="s">
        <v>302</v>
      </c>
      <c r="I195" s="10" t="s">
        <v>303</v>
      </c>
    </row>
    <row r="196" customFormat="false" ht="15" hidden="false" customHeight="false" outlineLevel="0" collapsed="false">
      <c r="B196" s="10" t="s">
        <v>104</v>
      </c>
      <c r="C196" s="18" t="n">
        <v>2025</v>
      </c>
      <c r="D196" s="10" t="s">
        <v>305</v>
      </c>
      <c r="E196" s="64" t="n">
        <v>2466.678718</v>
      </c>
      <c r="F196" s="10" t="s">
        <v>338</v>
      </c>
      <c r="G196" s="10" t="s">
        <v>286</v>
      </c>
      <c r="H196" s="65" t="s">
        <v>302</v>
      </c>
      <c r="I196" s="10" t="s">
        <v>303</v>
      </c>
    </row>
    <row r="197" customFormat="false" ht="15" hidden="false" customHeight="false" outlineLevel="0" collapsed="false">
      <c r="B197" s="10" t="s">
        <v>113</v>
      </c>
      <c r="C197" s="18" t="n">
        <v>2018</v>
      </c>
      <c r="D197" s="10" t="s">
        <v>284</v>
      </c>
      <c r="E197" s="64" t="n">
        <v>3402.6</v>
      </c>
      <c r="F197" s="10" t="s">
        <v>339</v>
      </c>
      <c r="G197" s="10" t="s">
        <v>286</v>
      </c>
      <c r="H197" s="65" t="s">
        <v>308</v>
      </c>
      <c r="I197" s="10" t="s">
        <v>309</v>
      </c>
    </row>
    <row r="198" customFormat="false" ht="15" hidden="false" customHeight="false" outlineLevel="0" collapsed="false">
      <c r="B198" s="10" t="s">
        <v>113</v>
      </c>
      <c r="C198" s="18" t="n">
        <v>2019</v>
      </c>
      <c r="D198" s="10" t="s">
        <v>289</v>
      </c>
      <c r="E198" s="64" t="n">
        <v>3232.47</v>
      </c>
      <c r="F198" s="10" t="s">
        <v>339</v>
      </c>
      <c r="G198" s="10" t="s">
        <v>286</v>
      </c>
      <c r="H198" s="65" t="s">
        <v>287</v>
      </c>
      <c r="I198" s="10" t="s">
        <v>288</v>
      </c>
    </row>
    <row r="199" customFormat="false" ht="15" hidden="false" customHeight="false" outlineLevel="0" collapsed="false">
      <c r="B199" s="10" t="s">
        <v>113</v>
      </c>
      <c r="C199" s="18" t="n">
        <v>2020</v>
      </c>
      <c r="D199" s="10" t="s">
        <v>292</v>
      </c>
      <c r="E199" s="64" t="n">
        <v>3846.6393</v>
      </c>
      <c r="F199" s="10" t="s">
        <v>339</v>
      </c>
      <c r="G199" s="10" t="s">
        <v>286</v>
      </c>
      <c r="H199" s="65" t="s">
        <v>290</v>
      </c>
      <c r="I199" s="10" t="s">
        <v>291</v>
      </c>
    </row>
    <row r="200" customFormat="false" ht="15" hidden="false" customHeight="false" outlineLevel="0" collapsed="false">
      <c r="B200" s="10" t="s">
        <v>113</v>
      </c>
      <c r="C200" s="18" t="n">
        <v>2021</v>
      </c>
      <c r="D200" s="10" t="s">
        <v>295</v>
      </c>
      <c r="E200" s="64" t="n">
        <v>4038.971265</v>
      </c>
      <c r="F200" s="10" t="s">
        <v>339</v>
      </c>
      <c r="G200" s="10" t="s">
        <v>286</v>
      </c>
      <c r="H200" s="65" t="s">
        <v>293</v>
      </c>
      <c r="I200" s="10" t="s">
        <v>294</v>
      </c>
    </row>
    <row r="201" customFormat="false" ht="15" hidden="false" customHeight="false" outlineLevel="0" collapsed="false">
      <c r="B201" s="10" t="s">
        <v>113</v>
      </c>
      <c r="C201" s="18" t="n">
        <v>2022</v>
      </c>
      <c r="D201" s="10" t="s">
        <v>298</v>
      </c>
      <c r="E201" s="64" t="n">
        <v>4442.868392</v>
      </c>
      <c r="F201" s="10" t="s">
        <v>339</v>
      </c>
      <c r="G201" s="10" t="s">
        <v>286</v>
      </c>
      <c r="H201" s="65" t="s">
        <v>296</v>
      </c>
      <c r="I201" s="10" t="s">
        <v>297</v>
      </c>
    </row>
    <row r="202" customFormat="false" ht="15" hidden="false" customHeight="false" outlineLevel="0" collapsed="false">
      <c r="B202" s="10" t="s">
        <v>113</v>
      </c>
      <c r="C202" s="18" t="n">
        <v>2023</v>
      </c>
      <c r="D202" s="10" t="s">
        <v>301</v>
      </c>
      <c r="E202" s="64" t="n">
        <v>4442.868392</v>
      </c>
      <c r="F202" s="10" t="s">
        <v>339</v>
      </c>
      <c r="G202" s="10" t="s">
        <v>286</v>
      </c>
      <c r="H202" s="65" t="s">
        <v>299</v>
      </c>
      <c r="I202" s="10" t="s">
        <v>300</v>
      </c>
    </row>
    <row r="203" customFormat="false" ht="15" hidden="false" customHeight="false" outlineLevel="0" collapsed="false">
      <c r="B203" s="10" t="s">
        <v>113</v>
      </c>
      <c r="C203" s="18" t="n">
        <v>2024</v>
      </c>
      <c r="D203" s="10" t="s">
        <v>304</v>
      </c>
      <c r="E203" s="64" t="n">
        <v>3998.581552</v>
      </c>
      <c r="F203" s="10" t="s">
        <v>339</v>
      </c>
      <c r="G203" s="10" t="s">
        <v>286</v>
      </c>
      <c r="H203" s="65" t="s">
        <v>302</v>
      </c>
      <c r="I203" s="10" t="s">
        <v>303</v>
      </c>
    </row>
    <row r="204" customFormat="false" ht="15" hidden="false" customHeight="false" outlineLevel="0" collapsed="false">
      <c r="B204" s="10" t="s">
        <v>113</v>
      </c>
      <c r="C204" s="18" t="n">
        <v>2025</v>
      </c>
      <c r="D204" s="10" t="s">
        <v>305</v>
      </c>
      <c r="E204" s="64" t="n">
        <v>3998.581552</v>
      </c>
      <c r="F204" s="10" t="s">
        <v>339</v>
      </c>
      <c r="G204" s="10" t="s">
        <v>286</v>
      </c>
      <c r="H204" s="65" t="s">
        <v>302</v>
      </c>
      <c r="I204" s="10" t="s">
        <v>303</v>
      </c>
    </row>
    <row r="205" customFormat="false" ht="15" hidden="false" customHeight="false" outlineLevel="0" collapsed="false">
      <c r="B205" s="10" t="s">
        <v>97</v>
      </c>
      <c r="C205" s="18" t="n">
        <v>2018</v>
      </c>
      <c r="D205" s="10" t="s">
        <v>284</v>
      </c>
      <c r="E205" s="64" t="n">
        <v>34026</v>
      </c>
      <c r="F205" s="10" t="s">
        <v>340</v>
      </c>
      <c r="G205" s="10" t="s">
        <v>286</v>
      </c>
      <c r="H205" s="65" t="s">
        <v>287</v>
      </c>
      <c r="I205" s="10" t="s">
        <v>288</v>
      </c>
    </row>
    <row r="206" customFormat="false" ht="15" hidden="false" customHeight="false" outlineLevel="0" collapsed="false">
      <c r="B206" s="10" t="s">
        <v>97</v>
      </c>
      <c r="C206" s="18" t="n">
        <v>2019</v>
      </c>
      <c r="D206" s="10" t="s">
        <v>289</v>
      </c>
      <c r="E206" s="64" t="n">
        <v>32324.7</v>
      </c>
      <c r="F206" s="10" t="s">
        <v>340</v>
      </c>
      <c r="G206" s="10" t="s">
        <v>286</v>
      </c>
      <c r="H206" s="65" t="s">
        <v>290</v>
      </c>
      <c r="I206" s="10" t="s">
        <v>291</v>
      </c>
    </row>
    <row r="207" customFormat="false" ht="15" hidden="false" customHeight="false" outlineLevel="0" collapsed="false">
      <c r="B207" s="10" t="s">
        <v>97</v>
      </c>
      <c r="C207" s="18" t="n">
        <v>2020</v>
      </c>
      <c r="D207" s="10" t="s">
        <v>292</v>
      </c>
      <c r="E207" s="64" t="n">
        <v>38466.393</v>
      </c>
      <c r="F207" s="10" t="s">
        <v>340</v>
      </c>
      <c r="G207" s="10" t="s">
        <v>286</v>
      </c>
      <c r="H207" s="65" t="s">
        <v>293</v>
      </c>
      <c r="I207" s="10" t="s">
        <v>294</v>
      </c>
    </row>
    <row r="208" customFormat="false" ht="15" hidden="false" customHeight="false" outlineLevel="0" collapsed="false">
      <c r="B208" s="10" t="s">
        <v>97</v>
      </c>
      <c r="C208" s="18" t="n">
        <v>2021</v>
      </c>
      <c r="D208" s="10" t="s">
        <v>295</v>
      </c>
      <c r="E208" s="64" t="n">
        <v>40389.71265</v>
      </c>
      <c r="F208" s="10" t="s">
        <v>340</v>
      </c>
      <c r="G208" s="10" t="s">
        <v>286</v>
      </c>
      <c r="H208" s="65" t="s">
        <v>296</v>
      </c>
      <c r="I208" s="10" t="s">
        <v>297</v>
      </c>
    </row>
    <row r="209" customFormat="false" ht="15" hidden="false" customHeight="false" outlineLevel="0" collapsed="false">
      <c r="B209" s="10" t="s">
        <v>97</v>
      </c>
      <c r="C209" s="18" t="n">
        <v>2022</v>
      </c>
      <c r="D209" s="10" t="s">
        <v>298</v>
      </c>
      <c r="E209" s="64" t="n">
        <v>44428.683915</v>
      </c>
      <c r="F209" s="10" t="s">
        <v>340</v>
      </c>
      <c r="G209" s="10" t="s">
        <v>286</v>
      </c>
      <c r="H209" s="65" t="s">
        <v>299</v>
      </c>
      <c r="I209" s="10" t="s">
        <v>300</v>
      </c>
    </row>
    <row r="210" customFormat="false" ht="15" hidden="false" customHeight="false" outlineLevel="0" collapsed="false">
      <c r="B210" s="10" t="s">
        <v>97</v>
      </c>
      <c r="C210" s="18" t="n">
        <v>2023</v>
      </c>
      <c r="D210" s="10" t="s">
        <v>301</v>
      </c>
      <c r="E210" s="64" t="n">
        <v>44428.683915</v>
      </c>
      <c r="F210" s="10" t="s">
        <v>340</v>
      </c>
      <c r="G210" s="10" t="s">
        <v>286</v>
      </c>
      <c r="H210" s="65" t="s">
        <v>302</v>
      </c>
      <c r="I210" s="10" t="s">
        <v>303</v>
      </c>
    </row>
    <row r="211" customFormat="false" ht="15" hidden="false" customHeight="false" outlineLevel="0" collapsed="false">
      <c r="B211" s="10" t="s">
        <v>97</v>
      </c>
      <c r="C211" s="18" t="n">
        <v>2024</v>
      </c>
      <c r="D211" s="10" t="s">
        <v>304</v>
      </c>
      <c r="E211" s="64" t="n">
        <v>40145.758786</v>
      </c>
      <c r="F211" s="10" t="s">
        <v>340</v>
      </c>
      <c r="G211" s="10" t="s">
        <v>286</v>
      </c>
      <c r="H211" s="65" t="s">
        <v>302</v>
      </c>
      <c r="I211" s="10" t="s">
        <v>303</v>
      </c>
    </row>
    <row r="212" customFormat="false" ht="15" hidden="false" customHeight="false" outlineLevel="0" collapsed="false">
      <c r="B212" s="10" t="s">
        <v>97</v>
      </c>
      <c r="C212" s="18" t="n">
        <v>2025</v>
      </c>
      <c r="D212" s="10" t="s">
        <v>305</v>
      </c>
      <c r="E212" s="64" t="n">
        <v>39985.815524</v>
      </c>
      <c r="F212" s="10" t="s">
        <v>340</v>
      </c>
      <c r="G212" s="10" t="s">
        <v>286</v>
      </c>
      <c r="H212" s="65" t="s">
        <v>302</v>
      </c>
      <c r="I212" s="10" t="s">
        <v>303</v>
      </c>
    </row>
    <row r="213" customFormat="false" ht="15" hidden="false" customHeight="false" outlineLevel="0" collapsed="false">
      <c r="B213" s="10" t="s">
        <v>110</v>
      </c>
      <c r="C213" s="18" t="n">
        <v>2018</v>
      </c>
      <c r="D213" s="10" t="s">
        <v>284</v>
      </c>
      <c r="E213" s="64" t="n">
        <v>272.208</v>
      </c>
      <c r="F213" s="10" t="s">
        <v>341</v>
      </c>
      <c r="G213" s="10" t="s">
        <v>286</v>
      </c>
      <c r="H213" s="65" t="s">
        <v>287</v>
      </c>
      <c r="I213" s="10" t="s">
        <v>288</v>
      </c>
    </row>
    <row r="214" customFormat="false" ht="15" hidden="false" customHeight="false" outlineLevel="0" collapsed="false">
      <c r="B214" s="10" t="s">
        <v>110</v>
      </c>
      <c r="C214" s="18" t="n">
        <v>2019</v>
      </c>
      <c r="D214" s="10" t="s">
        <v>289</v>
      </c>
      <c r="E214" s="64" t="n">
        <v>258.5976</v>
      </c>
      <c r="F214" s="10" t="s">
        <v>341</v>
      </c>
      <c r="G214" s="10" t="s">
        <v>286</v>
      </c>
      <c r="H214" s="65" t="s">
        <v>290</v>
      </c>
      <c r="I214" s="10" t="s">
        <v>291</v>
      </c>
    </row>
    <row r="215" customFormat="false" ht="15" hidden="false" customHeight="false" outlineLevel="0" collapsed="false">
      <c r="B215" s="10" t="s">
        <v>110</v>
      </c>
      <c r="C215" s="18" t="n">
        <v>2020</v>
      </c>
      <c r="D215" s="10" t="s">
        <v>292</v>
      </c>
      <c r="E215" s="64" t="n">
        <v>307.731144</v>
      </c>
      <c r="F215" s="10" t="s">
        <v>341</v>
      </c>
      <c r="G215" s="10" t="s">
        <v>286</v>
      </c>
      <c r="H215" s="65" t="s">
        <v>293</v>
      </c>
      <c r="I215" s="10" t="s">
        <v>294</v>
      </c>
    </row>
    <row r="216" customFormat="false" ht="15" hidden="false" customHeight="false" outlineLevel="0" collapsed="false">
      <c r="B216" s="10" t="s">
        <v>110</v>
      </c>
      <c r="C216" s="18" t="n">
        <v>2021</v>
      </c>
      <c r="D216" s="10" t="s">
        <v>295</v>
      </c>
      <c r="E216" s="64" t="n">
        <v>323.117701</v>
      </c>
      <c r="F216" s="10" t="s">
        <v>341</v>
      </c>
      <c r="G216" s="10" t="s">
        <v>286</v>
      </c>
      <c r="H216" s="65" t="s">
        <v>296</v>
      </c>
      <c r="I216" s="10" t="s">
        <v>297</v>
      </c>
    </row>
    <row r="217" customFormat="false" ht="15" hidden="false" customHeight="false" outlineLevel="0" collapsed="false">
      <c r="B217" s="10" t="s">
        <v>110</v>
      </c>
      <c r="C217" s="18" t="n">
        <v>2022</v>
      </c>
      <c r="D217" s="10" t="s">
        <v>298</v>
      </c>
      <c r="E217" s="64" t="n">
        <v>355.429471</v>
      </c>
      <c r="F217" s="10" t="s">
        <v>341</v>
      </c>
      <c r="G217" s="10" t="s">
        <v>286</v>
      </c>
      <c r="H217" s="65" t="s">
        <v>299</v>
      </c>
      <c r="I217" s="10" t="s">
        <v>300</v>
      </c>
    </row>
    <row r="218" customFormat="false" ht="15" hidden="false" customHeight="false" outlineLevel="0" collapsed="false">
      <c r="B218" s="10" t="s">
        <v>110</v>
      </c>
      <c r="C218" s="18" t="n">
        <v>2023</v>
      </c>
      <c r="D218" s="10" t="s">
        <v>301</v>
      </c>
      <c r="E218" s="64" t="n">
        <v>355.429471</v>
      </c>
      <c r="F218" s="10" t="s">
        <v>341</v>
      </c>
      <c r="G218" s="10" t="s">
        <v>286</v>
      </c>
      <c r="H218" s="65" t="s">
        <v>302</v>
      </c>
      <c r="I218" s="10" t="s">
        <v>303</v>
      </c>
    </row>
    <row r="219" customFormat="false" ht="15" hidden="false" customHeight="false" outlineLevel="0" collapsed="false">
      <c r="B219" s="10" t="s">
        <v>110</v>
      </c>
      <c r="C219" s="18" t="n">
        <v>2024</v>
      </c>
      <c r="D219" s="10" t="s">
        <v>304</v>
      </c>
      <c r="E219" s="64" t="n">
        <v>319.886524</v>
      </c>
      <c r="F219" s="10" t="s">
        <v>341</v>
      </c>
      <c r="G219" s="10" t="s">
        <v>286</v>
      </c>
      <c r="H219" s="65" t="s">
        <v>302</v>
      </c>
      <c r="I219" s="10" t="s">
        <v>303</v>
      </c>
    </row>
    <row r="220" customFormat="false" ht="15" hidden="false" customHeight="false" outlineLevel="0" collapsed="false">
      <c r="B220" s="10" t="s">
        <v>110</v>
      </c>
      <c r="C220" s="18" t="n">
        <v>2025</v>
      </c>
      <c r="D220" s="10" t="s">
        <v>305</v>
      </c>
      <c r="E220" s="64" t="n">
        <v>319.886524</v>
      </c>
      <c r="F220" s="10" t="s">
        <v>341</v>
      </c>
      <c r="G220" s="10" t="s">
        <v>286</v>
      </c>
      <c r="H220" s="65" t="s">
        <v>302</v>
      </c>
      <c r="I220" s="10" t="s">
        <v>303</v>
      </c>
    </row>
    <row r="221" customFormat="false" ht="15" hidden="false" customHeight="false" outlineLevel="0" collapsed="false">
      <c r="B221" s="10" t="s">
        <v>342</v>
      </c>
      <c r="C221" s="18" t="n">
        <v>2018</v>
      </c>
      <c r="D221" s="10" t="s">
        <v>284</v>
      </c>
      <c r="E221" s="64" t="n">
        <v>10548.06</v>
      </c>
      <c r="F221" s="10" t="s">
        <v>343</v>
      </c>
      <c r="G221" s="10" t="s">
        <v>286</v>
      </c>
      <c r="H221" s="65" t="s">
        <v>287</v>
      </c>
      <c r="I221" s="10" t="s">
        <v>288</v>
      </c>
    </row>
    <row r="222" customFormat="false" ht="15" hidden="false" customHeight="false" outlineLevel="0" collapsed="false">
      <c r="B222" s="10" t="s">
        <v>342</v>
      </c>
      <c r="C222" s="18" t="n">
        <v>2019</v>
      </c>
      <c r="D222" s="10" t="s">
        <v>289</v>
      </c>
      <c r="E222" s="64" t="n">
        <v>10990.398</v>
      </c>
      <c r="F222" s="10" t="s">
        <v>343</v>
      </c>
      <c r="G222" s="10" t="s">
        <v>286</v>
      </c>
      <c r="H222" s="65" t="s">
        <v>290</v>
      </c>
      <c r="I222" s="10" t="s">
        <v>291</v>
      </c>
    </row>
    <row r="223" customFormat="false" ht="15" hidden="false" customHeight="false" outlineLevel="0" collapsed="false">
      <c r="B223" s="10" t="s">
        <v>342</v>
      </c>
      <c r="C223" s="18" t="n">
        <v>2020</v>
      </c>
      <c r="D223" s="10" t="s">
        <v>292</v>
      </c>
      <c r="E223" s="64" t="n">
        <v>10770.59004</v>
      </c>
      <c r="F223" s="10" t="s">
        <v>343</v>
      </c>
      <c r="G223" s="10" t="s">
        <v>286</v>
      </c>
      <c r="H223" s="65" t="s">
        <v>293</v>
      </c>
      <c r="I223" s="10" t="s">
        <v>294</v>
      </c>
    </row>
    <row r="224" customFormat="false" ht="15" hidden="false" customHeight="false" outlineLevel="0" collapsed="false">
      <c r="B224" s="10" t="s">
        <v>342</v>
      </c>
      <c r="C224" s="18" t="n">
        <v>2021</v>
      </c>
      <c r="D224" s="10" t="s">
        <v>295</v>
      </c>
      <c r="E224" s="64" t="n">
        <v>12116.913795</v>
      </c>
      <c r="F224" s="10" t="s">
        <v>343</v>
      </c>
      <c r="G224" s="10" t="s">
        <v>286</v>
      </c>
      <c r="H224" s="65" t="s">
        <v>296</v>
      </c>
      <c r="I224" s="10" t="s">
        <v>297</v>
      </c>
    </row>
    <row r="225" customFormat="false" ht="15" hidden="false" customHeight="false" outlineLevel="0" collapsed="false">
      <c r="B225" s="10" t="s">
        <v>342</v>
      </c>
      <c r="C225" s="18" t="n">
        <v>2022</v>
      </c>
      <c r="D225" s="10" t="s">
        <v>298</v>
      </c>
      <c r="E225" s="64" t="n">
        <v>14217.178853</v>
      </c>
      <c r="F225" s="10" t="s">
        <v>343</v>
      </c>
      <c r="G225" s="10" t="s">
        <v>286</v>
      </c>
      <c r="H225" s="65" t="s">
        <v>299</v>
      </c>
      <c r="I225" s="10" t="s">
        <v>300</v>
      </c>
    </row>
    <row r="226" customFormat="false" ht="15" hidden="false" customHeight="false" outlineLevel="0" collapsed="false">
      <c r="B226" s="10" t="s">
        <v>342</v>
      </c>
      <c r="C226" s="18" t="n">
        <v>2023</v>
      </c>
      <c r="D226" s="10" t="s">
        <v>301</v>
      </c>
      <c r="E226" s="64" t="n">
        <v>14217.178853</v>
      </c>
      <c r="F226" s="10" t="s">
        <v>343</v>
      </c>
      <c r="G226" s="10" t="s">
        <v>286</v>
      </c>
      <c r="H226" s="65" t="s">
        <v>302</v>
      </c>
      <c r="I226" s="10" t="s">
        <v>303</v>
      </c>
    </row>
    <row r="227" customFormat="false" ht="15" hidden="false" customHeight="false" outlineLevel="0" collapsed="false">
      <c r="B227" s="10" t="s">
        <v>342</v>
      </c>
      <c r="C227" s="18" t="n">
        <v>2024</v>
      </c>
      <c r="D227" s="10" t="s">
        <v>304</v>
      </c>
      <c r="E227" s="64" t="n">
        <v>14394.893588</v>
      </c>
      <c r="F227" s="10" t="s">
        <v>343</v>
      </c>
      <c r="G227" s="10" t="s">
        <v>286</v>
      </c>
      <c r="H227" s="65" t="s">
        <v>302</v>
      </c>
      <c r="I227" s="10" t="s">
        <v>303</v>
      </c>
    </row>
    <row r="228" customFormat="false" ht="15" hidden="false" customHeight="false" outlineLevel="0" collapsed="false">
      <c r="B228" s="10" t="s">
        <v>342</v>
      </c>
      <c r="C228" s="18" t="n">
        <v>2025</v>
      </c>
      <c r="D228" s="10" t="s">
        <v>305</v>
      </c>
      <c r="E228" s="64" t="n">
        <v>14794.751744</v>
      </c>
      <c r="F228" s="10" t="s">
        <v>343</v>
      </c>
      <c r="G228" s="10" t="s">
        <v>286</v>
      </c>
      <c r="H228" s="65" t="s">
        <v>302</v>
      </c>
      <c r="I228" s="10" t="s">
        <v>303</v>
      </c>
    </row>
    <row r="229" customFormat="false" ht="15" hidden="false" customHeight="false" outlineLevel="0" collapsed="false">
      <c r="B229" s="10" t="s">
        <v>48</v>
      </c>
      <c r="C229" s="18" t="n">
        <v>2018</v>
      </c>
      <c r="D229" s="10" t="s">
        <v>284</v>
      </c>
      <c r="E229" s="64" t="n">
        <v>2835</v>
      </c>
      <c r="F229" s="10" t="s">
        <v>344</v>
      </c>
      <c r="G229" s="10" t="s">
        <v>286</v>
      </c>
      <c r="H229" s="65" t="s">
        <v>308</v>
      </c>
      <c r="I229" s="10" t="s">
        <v>309</v>
      </c>
    </row>
    <row r="230" customFormat="false" ht="15" hidden="false" customHeight="false" outlineLevel="0" collapsed="false">
      <c r="B230" s="10" t="s">
        <v>48</v>
      </c>
      <c r="C230" s="18" t="n">
        <v>2019</v>
      </c>
      <c r="D230" s="10" t="s">
        <v>289</v>
      </c>
      <c r="E230" s="64" t="n">
        <v>2970</v>
      </c>
      <c r="F230" s="10" t="s">
        <v>344</v>
      </c>
      <c r="G230" s="10" t="s">
        <v>286</v>
      </c>
      <c r="H230" s="65" t="s">
        <v>287</v>
      </c>
      <c r="I230" s="10" t="s">
        <v>288</v>
      </c>
    </row>
    <row r="231" customFormat="false" ht="15" hidden="false" customHeight="false" outlineLevel="0" collapsed="false">
      <c r="B231" s="10" t="s">
        <v>48</v>
      </c>
      <c r="C231" s="18" t="n">
        <v>2020</v>
      </c>
      <c r="D231" s="10" t="s">
        <v>292</v>
      </c>
      <c r="E231" s="64" t="n">
        <v>3105</v>
      </c>
      <c r="F231" s="10" t="s">
        <v>344</v>
      </c>
      <c r="G231" s="10" t="s">
        <v>286</v>
      </c>
      <c r="H231" s="65" t="s">
        <v>290</v>
      </c>
      <c r="I231" s="10" t="s">
        <v>291</v>
      </c>
    </row>
    <row r="232" customFormat="false" ht="15" hidden="false" customHeight="false" outlineLevel="0" collapsed="false">
      <c r="B232" s="10" t="s">
        <v>48</v>
      </c>
      <c r="C232" s="18" t="n">
        <v>2021</v>
      </c>
      <c r="D232" s="10" t="s">
        <v>295</v>
      </c>
      <c r="E232" s="64" t="n">
        <v>3240</v>
      </c>
      <c r="F232" s="10" t="s">
        <v>344</v>
      </c>
      <c r="G232" s="10" t="s">
        <v>286</v>
      </c>
      <c r="H232" s="65" t="s">
        <v>293</v>
      </c>
      <c r="I232" s="10" t="s">
        <v>294</v>
      </c>
    </row>
    <row r="233" customFormat="false" ht="15" hidden="false" customHeight="false" outlineLevel="0" collapsed="false">
      <c r="B233" s="10" t="s">
        <v>48</v>
      </c>
      <c r="C233" s="18" t="n">
        <v>2022</v>
      </c>
      <c r="D233" s="10" t="s">
        <v>298</v>
      </c>
      <c r="E233" s="64" t="n">
        <v>3375</v>
      </c>
      <c r="F233" s="10" t="s">
        <v>344</v>
      </c>
      <c r="G233" s="10" t="s">
        <v>286</v>
      </c>
      <c r="H233" s="65" t="s">
        <v>296</v>
      </c>
      <c r="I233" s="10" t="s">
        <v>297</v>
      </c>
    </row>
    <row r="234" customFormat="false" ht="15" hidden="false" customHeight="false" outlineLevel="0" collapsed="false">
      <c r="B234" s="10" t="s">
        <v>48</v>
      </c>
      <c r="C234" s="18" t="n">
        <v>2023</v>
      </c>
      <c r="D234" s="10" t="s">
        <v>301</v>
      </c>
      <c r="E234" s="64" t="n">
        <v>3510</v>
      </c>
      <c r="F234" s="10" t="s">
        <v>344</v>
      </c>
      <c r="G234" s="10" t="s">
        <v>286</v>
      </c>
      <c r="H234" s="65" t="s">
        <v>299</v>
      </c>
      <c r="I234" s="10" t="s">
        <v>300</v>
      </c>
    </row>
    <row r="235" customFormat="false" ht="15" hidden="false" customHeight="false" outlineLevel="0" collapsed="false">
      <c r="B235" s="10" t="s">
        <v>48</v>
      </c>
      <c r="C235" s="18" t="n">
        <v>2024</v>
      </c>
      <c r="D235" s="10" t="s">
        <v>304</v>
      </c>
      <c r="E235" s="64" t="n">
        <v>3645</v>
      </c>
      <c r="F235" s="10" t="s">
        <v>344</v>
      </c>
      <c r="G235" s="10" t="s">
        <v>286</v>
      </c>
      <c r="H235" s="65" t="s">
        <v>302</v>
      </c>
      <c r="I235" s="10" t="s">
        <v>303</v>
      </c>
    </row>
    <row r="236" customFormat="false" ht="15" hidden="false" customHeight="false" outlineLevel="0" collapsed="false">
      <c r="B236" s="10" t="s">
        <v>48</v>
      </c>
      <c r="C236" s="18" t="n">
        <v>2025</v>
      </c>
      <c r="D236" s="10" t="s">
        <v>305</v>
      </c>
      <c r="E236" s="64" t="n">
        <v>3780</v>
      </c>
      <c r="F236" s="10" t="s">
        <v>344</v>
      </c>
      <c r="G236" s="10" t="s">
        <v>286</v>
      </c>
      <c r="H236" s="65" t="s">
        <v>302</v>
      </c>
      <c r="I236" s="10" t="s">
        <v>303</v>
      </c>
    </row>
    <row r="237" customFormat="false" ht="15" hidden="false" customHeight="false" outlineLevel="0" collapsed="false">
      <c r="B237" s="10" t="s">
        <v>116</v>
      </c>
      <c r="C237" s="18" t="n">
        <v>2018</v>
      </c>
      <c r="D237" s="10" t="s">
        <v>284</v>
      </c>
      <c r="E237" s="64" t="n">
        <v>30623.4</v>
      </c>
      <c r="F237" s="10" t="s">
        <v>345</v>
      </c>
      <c r="G237" s="10" t="s">
        <v>286</v>
      </c>
      <c r="H237" s="65" t="s">
        <v>308</v>
      </c>
      <c r="I237" s="10" t="s">
        <v>309</v>
      </c>
    </row>
    <row r="238" customFormat="false" ht="15" hidden="false" customHeight="false" outlineLevel="0" collapsed="false">
      <c r="B238" s="10" t="s">
        <v>116</v>
      </c>
      <c r="C238" s="18" t="n">
        <v>2019</v>
      </c>
      <c r="D238" s="10" t="s">
        <v>289</v>
      </c>
      <c r="E238" s="64" t="n">
        <v>29092.23</v>
      </c>
      <c r="F238" s="10" t="s">
        <v>345</v>
      </c>
      <c r="G238" s="10" t="s">
        <v>286</v>
      </c>
      <c r="H238" s="65" t="s">
        <v>287</v>
      </c>
      <c r="I238" s="10" t="s">
        <v>288</v>
      </c>
    </row>
    <row r="239" customFormat="false" ht="15" hidden="false" customHeight="false" outlineLevel="0" collapsed="false">
      <c r="B239" s="10" t="s">
        <v>116</v>
      </c>
      <c r="C239" s="18" t="n">
        <v>2020</v>
      </c>
      <c r="D239" s="10" t="s">
        <v>292</v>
      </c>
      <c r="E239" s="64" t="n">
        <v>34619.7537</v>
      </c>
      <c r="F239" s="10" t="s">
        <v>345</v>
      </c>
      <c r="G239" s="10" t="s">
        <v>286</v>
      </c>
      <c r="H239" s="65" t="s">
        <v>290</v>
      </c>
      <c r="I239" s="10" t="s">
        <v>291</v>
      </c>
    </row>
    <row r="240" customFormat="false" ht="15" hidden="false" customHeight="false" outlineLevel="0" collapsed="false">
      <c r="B240" s="10" t="s">
        <v>116</v>
      </c>
      <c r="C240" s="18" t="n">
        <v>2021</v>
      </c>
      <c r="D240" s="10" t="s">
        <v>295</v>
      </c>
      <c r="E240" s="64" t="n">
        <v>36350.741385</v>
      </c>
      <c r="F240" s="10" t="s">
        <v>345</v>
      </c>
      <c r="G240" s="10" t="s">
        <v>286</v>
      </c>
      <c r="H240" s="65" t="s">
        <v>293</v>
      </c>
      <c r="I240" s="10" t="s">
        <v>294</v>
      </c>
    </row>
    <row r="241" customFormat="false" ht="15" hidden="false" customHeight="false" outlineLevel="0" collapsed="false">
      <c r="B241" s="10" t="s">
        <v>116</v>
      </c>
      <c r="C241" s="18" t="n">
        <v>2022</v>
      </c>
      <c r="D241" s="10" t="s">
        <v>298</v>
      </c>
      <c r="E241" s="64" t="n">
        <v>39985.815524</v>
      </c>
      <c r="F241" s="10" t="s">
        <v>345</v>
      </c>
      <c r="G241" s="10" t="s">
        <v>286</v>
      </c>
      <c r="H241" s="65" t="s">
        <v>296</v>
      </c>
      <c r="I241" s="10" t="s">
        <v>297</v>
      </c>
    </row>
    <row r="242" customFormat="false" ht="15" hidden="false" customHeight="false" outlineLevel="0" collapsed="false">
      <c r="B242" s="10" t="s">
        <v>116</v>
      </c>
      <c r="C242" s="18" t="n">
        <v>2023</v>
      </c>
      <c r="D242" s="10" t="s">
        <v>301</v>
      </c>
      <c r="E242" s="64" t="n">
        <v>39985.815524</v>
      </c>
      <c r="F242" s="10" t="s">
        <v>345</v>
      </c>
      <c r="G242" s="10" t="s">
        <v>286</v>
      </c>
      <c r="H242" s="65" t="s">
        <v>299</v>
      </c>
      <c r="I242" s="10" t="s">
        <v>300</v>
      </c>
    </row>
    <row r="243" customFormat="false" ht="15" hidden="false" customHeight="false" outlineLevel="0" collapsed="false">
      <c r="B243" s="10" t="s">
        <v>116</v>
      </c>
      <c r="C243" s="18" t="n">
        <v>2024</v>
      </c>
      <c r="D243" s="10" t="s">
        <v>304</v>
      </c>
      <c r="E243" s="64" t="n">
        <v>35987.233971</v>
      </c>
      <c r="F243" s="10" t="s">
        <v>345</v>
      </c>
      <c r="G243" s="10" t="s">
        <v>286</v>
      </c>
      <c r="H243" s="65" t="s">
        <v>302</v>
      </c>
      <c r="I243" s="10" t="s">
        <v>303</v>
      </c>
    </row>
    <row r="244" customFormat="false" ht="15" hidden="false" customHeight="false" outlineLevel="0" collapsed="false">
      <c r="B244" s="10" t="s">
        <v>116</v>
      </c>
      <c r="C244" s="18" t="n">
        <v>2025</v>
      </c>
      <c r="D244" s="10" t="s">
        <v>305</v>
      </c>
      <c r="E244" s="64" t="n">
        <v>35987.233971</v>
      </c>
      <c r="F244" s="10" t="s">
        <v>345</v>
      </c>
      <c r="G244" s="10" t="s">
        <v>286</v>
      </c>
      <c r="H244" s="65" t="s">
        <v>302</v>
      </c>
      <c r="I244" s="10" t="s">
        <v>303</v>
      </c>
    </row>
    <row r="245" customFormat="false" ht="15" hidden="false" customHeight="false" outlineLevel="0" collapsed="false">
      <c r="B245" s="10" t="s">
        <v>346</v>
      </c>
      <c r="C245" s="18" t="n">
        <v>2018</v>
      </c>
      <c r="D245" s="10" t="s">
        <v>284</v>
      </c>
      <c r="E245" s="64" t="n">
        <v>18714.3</v>
      </c>
      <c r="F245" s="10" t="s">
        <v>347</v>
      </c>
      <c r="G245" s="10" t="s">
        <v>286</v>
      </c>
      <c r="H245" s="65" t="s">
        <v>308</v>
      </c>
      <c r="I245" s="10" t="s">
        <v>309</v>
      </c>
    </row>
    <row r="246" customFormat="false" ht="15" hidden="false" customHeight="false" outlineLevel="0" collapsed="false">
      <c r="B246" s="10" t="s">
        <v>346</v>
      </c>
      <c r="C246" s="18" t="n">
        <v>2019</v>
      </c>
      <c r="D246" s="10" t="s">
        <v>289</v>
      </c>
      <c r="E246" s="64" t="n">
        <v>17778.585</v>
      </c>
      <c r="F246" s="10" t="s">
        <v>347</v>
      </c>
      <c r="G246" s="10" t="s">
        <v>286</v>
      </c>
      <c r="H246" s="65" t="s">
        <v>287</v>
      </c>
      <c r="I246" s="10" t="s">
        <v>288</v>
      </c>
    </row>
    <row r="247" customFormat="false" ht="15" hidden="false" customHeight="false" outlineLevel="0" collapsed="false">
      <c r="B247" s="10" t="s">
        <v>346</v>
      </c>
      <c r="C247" s="18" t="n">
        <v>2020</v>
      </c>
      <c r="D247" s="10" t="s">
        <v>292</v>
      </c>
      <c r="E247" s="64" t="n">
        <v>21156.51615</v>
      </c>
      <c r="F247" s="10" t="s">
        <v>347</v>
      </c>
      <c r="G247" s="10" t="s">
        <v>286</v>
      </c>
      <c r="H247" s="65" t="s">
        <v>290</v>
      </c>
      <c r="I247" s="10" t="s">
        <v>291</v>
      </c>
    </row>
    <row r="248" customFormat="false" ht="15" hidden="false" customHeight="false" outlineLevel="0" collapsed="false">
      <c r="B248" s="10" t="s">
        <v>346</v>
      </c>
      <c r="C248" s="18" t="n">
        <v>2021</v>
      </c>
      <c r="D248" s="10" t="s">
        <v>295</v>
      </c>
      <c r="E248" s="64" t="n">
        <v>22214.341958</v>
      </c>
      <c r="F248" s="10" t="s">
        <v>347</v>
      </c>
      <c r="G248" s="10" t="s">
        <v>286</v>
      </c>
      <c r="H248" s="65" t="s">
        <v>293</v>
      </c>
      <c r="I248" s="10" t="s">
        <v>294</v>
      </c>
    </row>
    <row r="249" customFormat="false" ht="15" hidden="false" customHeight="false" outlineLevel="0" collapsed="false">
      <c r="B249" s="10" t="s">
        <v>346</v>
      </c>
      <c r="C249" s="18" t="n">
        <v>2022</v>
      </c>
      <c r="D249" s="10" t="s">
        <v>298</v>
      </c>
      <c r="E249" s="64" t="n">
        <v>24435.776153</v>
      </c>
      <c r="F249" s="10" t="s">
        <v>347</v>
      </c>
      <c r="G249" s="10" t="s">
        <v>286</v>
      </c>
      <c r="H249" s="65" t="s">
        <v>296</v>
      </c>
      <c r="I249" s="10" t="s">
        <v>297</v>
      </c>
    </row>
    <row r="250" customFormat="false" ht="15" hidden="false" customHeight="false" outlineLevel="0" collapsed="false">
      <c r="B250" s="10" t="s">
        <v>346</v>
      </c>
      <c r="C250" s="18" t="n">
        <v>2023</v>
      </c>
      <c r="D250" s="10" t="s">
        <v>301</v>
      </c>
      <c r="E250" s="64" t="n">
        <v>24435.776153</v>
      </c>
      <c r="F250" s="10" t="s">
        <v>347</v>
      </c>
      <c r="G250" s="10" t="s">
        <v>286</v>
      </c>
      <c r="H250" s="65" t="s">
        <v>299</v>
      </c>
      <c r="I250" s="10" t="s">
        <v>300</v>
      </c>
    </row>
    <row r="251" customFormat="false" ht="15" hidden="false" customHeight="false" outlineLevel="0" collapsed="false">
      <c r="B251" s="10" t="s">
        <v>346</v>
      </c>
      <c r="C251" s="18" t="n">
        <v>2024</v>
      </c>
      <c r="D251" s="10" t="s">
        <v>304</v>
      </c>
      <c r="E251" s="64" t="n">
        <v>21992.198538</v>
      </c>
      <c r="F251" s="10" t="s">
        <v>347</v>
      </c>
      <c r="G251" s="10" t="s">
        <v>286</v>
      </c>
      <c r="H251" s="65" t="s">
        <v>302</v>
      </c>
      <c r="I251" s="10" t="s">
        <v>303</v>
      </c>
    </row>
    <row r="252" customFormat="false" ht="15" hidden="false" customHeight="false" outlineLevel="0" collapsed="false">
      <c r="B252" s="10" t="s">
        <v>346</v>
      </c>
      <c r="C252" s="18" t="n">
        <v>2025</v>
      </c>
      <c r="D252" s="10" t="s">
        <v>305</v>
      </c>
      <c r="E252" s="64" t="n">
        <v>21992.198538</v>
      </c>
      <c r="F252" s="10" t="s">
        <v>347</v>
      </c>
      <c r="G252" s="10" t="s">
        <v>286</v>
      </c>
      <c r="H252" s="65" t="s">
        <v>302</v>
      </c>
      <c r="I252" s="10" t="s">
        <v>303</v>
      </c>
    </row>
  </sheetData>
  <hyperlinks>
    <hyperlink ref="H5" r:id="rId1" display="0000900001-20-000003"/>
    <hyperlink ref="H6" r:id="rId2" display="0000900001-21-000004"/>
    <hyperlink ref="H7" r:id="rId3" display="0000900001-22-000005"/>
    <hyperlink ref="H8" r:id="rId4" display="0000900001-23-000006"/>
    <hyperlink ref="H9" r:id="rId5" display="0000900001-24-000007"/>
    <hyperlink ref="H10" r:id="rId6" display="0000900001-25-000008"/>
    <hyperlink ref="H11" r:id="rId7" display="0000900001-25-000008"/>
    <hyperlink ref="H12" r:id="rId8" display="0000900001-25-000008"/>
    <hyperlink ref="H13" r:id="rId9" display="0000900001-20-000003"/>
    <hyperlink ref="H14" r:id="rId10" display="0000900001-21-000004"/>
    <hyperlink ref="H15" r:id="rId11" display="0000900001-22-000005"/>
    <hyperlink ref="H16" r:id="rId12" display="0000900001-23-000006"/>
    <hyperlink ref="H17" r:id="rId13" display="0000900001-24-000007"/>
    <hyperlink ref="H18" r:id="rId14" display="0000900001-25-000008"/>
    <hyperlink ref="H19" r:id="rId15" display="0000900001-25-000008"/>
    <hyperlink ref="H20" r:id="rId16" display="0000900001-25-000008"/>
    <hyperlink ref="H21" r:id="rId17" display="0000900001-19-000002"/>
    <hyperlink ref="H22" r:id="rId18" display="0000900001-20-000003"/>
    <hyperlink ref="H23" r:id="rId19" display="0000900001-21-000004"/>
    <hyperlink ref="H24" r:id="rId20" display="0000900001-22-000005"/>
    <hyperlink ref="H25" r:id="rId21" display="0000900001-23-000006"/>
    <hyperlink ref="H26" r:id="rId22" display="0000900001-24-000007"/>
    <hyperlink ref="H27" r:id="rId23" display="0000900001-25-000008"/>
    <hyperlink ref="H28" r:id="rId24" display="0000900001-25-000008"/>
    <hyperlink ref="H29" r:id="rId25" display="0000900001-20-000003"/>
    <hyperlink ref="H30" r:id="rId26" display="0000900001-21-000004"/>
    <hyperlink ref="H31" r:id="rId27" display="0000900001-22-000005"/>
    <hyperlink ref="H32" r:id="rId28" display="0000900001-23-000006"/>
    <hyperlink ref="H33" r:id="rId29" display="0000900001-24-000007"/>
    <hyperlink ref="H34" r:id="rId30" display="0000900001-25-000008"/>
    <hyperlink ref="H35" r:id="rId31" display="0000900001-25-000008"/>
    <hyperlink ref="H36" r:id="rId32" display="0000900001-25-000008"/>
    <hyperlink ref="H37" r:id="rId33" display="0000900001-20-000003"/>
    <hyperlink ref="H38" r:id="rId34" display="0000900001-21-000004"/>
    <hyperlink ref="H39" r:id="rId35" display="0000900001-22-000005"/>
    <hyperlink ref="H40" r:id="rId36" display="0000900001-23-000006"/>
    <hyperlink ref="H41" r:id="rId37" display="0000900001-24-000007"/>
    <hyperlink ref="H42" r:id="rId38" display="0000900001-25-000008"/>
    <hyperlink ref="H43" r:id="rId39" display="0000900001-25-000008"/>
    <hyperlink ref="H44" r:id="rId40" display="0000900001-25-000008"/>
    <hyperlink ref="H45" r:id="rId41" display="0000900001-19-000002"/>
    <hyperlink ref="H46" r:id="rId42" display="0000900001-20-000003"/>
    <hyperlink ref="H47" r:id="rId43" display="0000900001-21-000004"/>
    <hyperlink ref="H48" r:id="rId44" display="0000900001-22-000005"/>
    <hyperlink ref="H49" r:id="rId45" display="0000900001-23-000006"/>
    <hyperlink ref="H50" r:id="rId46" display="0000900001-24-000007"/>
    <hyperlink ref="H51" r:id="rId47" display="0000900001-25-000008"/>
    <hyperlink ref="H52" r:id="rId48" display="0000900001-25-000008"/>
    <hyperlink ref="H53" r:id="rId49" display="0000900001-19-000002"/>
    <hyperlink ref="H54" r:id="rId50" display="0000900001-20-000003"/>
    <hyperlink ref="H55" r:id="rId51" display="0000900001-21-000004"/>
    <hyperlink ref="H56" r:id="rId52" display="0000900001-22-000005"/>
    <hyperlink ref="H57" r:id="rId53" display="0000900001-23-000006"/>
    <hyperlink ref="H58" r:id="rId54" display="0000900001-24-000007"/>
    <hyperlink ref="H59" r:id="rId55" display="0000900001-25-000008"/>
    <hyperlink ref="H60" r:id="rId56" display="0000900001-25-000008"/>
    <hyperlink ref="H61" r:id="rId57" display="0000900001-20-000003"/>
    <hyperlink ref="H62" r:id="rId58" display="0000900001-21-000004"/>
    <hyperlink ref="H63" r:id="rId59" display="0000900001-22-000005"/>
    <hyperlink ref="H64" r:id="rId60" display="0000900001-23-000006"/>
    <hyperlink ref="H65" r:id="rId61" display="0000900001-24-000007"/>
    <hyperlink ref="H66" r:id="rId62" display="0000900001-25-000008"/>
    <hyperlink ref="H67" r:id="rId63" display="0000900001-25-000008"/>
    <hyperlink ref="H68" r:id="rId64" display="0000900001-25-000008"/>
    <hyperlink ref="H69" r:id="rId65" display="0000900001-20-000003"/>
    <hyperlink ref="H70" r:id="rId66" display="0000900001-21-000004"/>
    <hyperlink ref="H71" r:id="rId67" display="0000900001-22-000005"/>
    <hyperlink ref="H72" r:id="rId68" display="0000900001-23-000006"/>
    <hyperlink ref="H73" r:id="rId69" display="0000900001-24-000007"/>
    <hyperlink ref="H74" r:id="rId70" display="0000900001-25-000008"/>
    <hyperlink ref="H75" r:id="rId71" display="0000900001-25-000008"/>
    <hyperlink ref="H76" r:id="rId72" display="0000900001-25-000008"/>
    <hyperlink ref="H77" r:id="rId73" display="0000900001-20-000003"/>
    <hyperlink ref="H78" r:id="rId74" display="0000900001-21-000004"/>
    <hyperlink ref="H79" r:id="rId75" display="0000900001-22-000005"/>
    <hyperlink ref="H80" r:id="rId76" display="0000900001-23-000006"/>
    <hyperlink ref="H81" r:id="rId77" display="0000900001-24-000007"/>
    <hyperlink ref="H82" r:id="rId78" display="0000900001-25-000008"/>
    <hyperlink ref="H83" r:id="rId79" display="0000900001-25-000008"/>
    <hyperlink ref="H84" r:id="rId80" display="0000900001-25-000008"/>
    <hyperlink ref="H85" r:id="rId81" display="0000900001-20-000003"/>
    <hyperlink ref="H86" r:id="rId82" display="0000900001-21-000004"/>
    <hyperlink ref="H87" r:id="rId83" display="0000900001-22-000005"/>
    <hyperlink ref="H88" r:id="rId84" display="0000900001-23-000006"/>
    <hyperlink ref="H89" r:id="rId85" display="0000900001-24-000007"/>
    <hyperlink ref="H90" r:id="rId86" display="0000900001-25-000008"/>
    <hyperlink ref="H91" r:id="rId87" display="0000900001-25-000008"/>
    <hyperlink ref="H92" r:id="rId88" display="0000900001-25-000008"/>
    <hyperlink ref="H93" r:id="rId89" display="0000900001-19-000002"/>
    <hyperlink ref="H94" r:id="rId90" display="0000900001-20-000003"/>
    <hyperlink ref="H95" r:id="rId91" display="0000900001-21-000004"/>
    <hyperlink ref="H96" r:id="rId92" display="0000900001-22-000005"/>
    <hyperlink ref="H97" r:id="rId93" display="0000900001-23-000006"/>
    <hyperlink ref="H98" r:id="rId94" display="0000900001-24-000007"/>
    <hyperlink ref="H99" r:id="rId95" display="0000900001-25-000008"/>
    <hyperlink ref="H100" r:id="rId96" display="0000900001-25-000008"/>
    <hyperlink ref="H101" r:id="rId97" display="0000900001-19-000002"/>
    <hyperlink ref="H102" r:id="rId98" display="0000900001-20-000003"/>
    <hyperlink ref="H103" r:id="rId99" display="0000900001-21-000004"/>
    <hyperlink ref="H104" r:id="rId100" display="0000900001-22-000005"/>
    <hyperlink ref="H105" r:id="rId101" display="0000900001-23-000006"/>
    <hyperlink ref="H106" r:id="rId102" display="0000900001-24-000007"/>
    <hyperlink ref="H107" r:id="rId103" display="0000900001-25-000008"/>
    <hyperlink ref="H108" r:id="rId104" display="0000900001-25-000008"/>
    <hyperlink ref="H109" r:id="rId105" display="0000900001-20-000003"/>
    <hyperlink ref="H110" r:id="rId106" display="0000900001-21-000004"/>
    <hyperlink ref="H111" r:id="rId107" display="0000900001-22-000005"/>
    <hyperlink ref="H112" r:id="rId108" display="0000900001-23-000006"/>
    <hyperlink ref="H113" r:id="rId109" display="0000900001-24-000007"/>
    <hyperlink ref="H114" r:id="rId110" display="0000900001-25-000008"/>
    <hyperlink ref="H115" r:id="rId111" display="0000900001-25-000008"/>
    <hyperlink ref="H116" r:id="rId112" display="0000900001-25-000008"/>
    <hyperlink ref="H117" r:id="rId113" display="0000900001-20-000003"/>
    <hyperlink ref="H118" r:id="rId114" display="0000900001-21-000004"/>
    <hyperlink ref="H119" r:id="rId115" display="0000900001-22-000005"/>
    <hyperlink ref="H120" r:id="rId116" display="0000900001-23-000006"/>
    <hyperlink ref="H121" r:id="rId117" display="0000900001-24-000007"/>
    <hyperlink ref="H122" r:id="rId118" display="0000900001-25-000008"/>
    <hyperlink ref="H123" r:id="rId119" display="0000900001-25-000008"/>
    <hyperlink ref="H124" r:id="rId120" display="0000900001-25-000008"/>
    <hyperlink ref="H125" r:id="rId121" display="0000900001-20-000003"/>
    <hyperlink ref="H126" r:id="rId122" display="0000900001-21-000004"/>
    <hyperlink ref="H127" r:id="rId123" display="0000900001-22-000005"/>
    <hyperlink ref="H128" r:id="rId124" display="0000900001-23-000006"/>
    <hyperlink ref="H129" r:id="rId125" display="0000900001-24-000007"/>
    <hyperlink ref="H130" r:id="rId126" display="0000900001-25-000008"/>
    <hyperlink ref="H131" r:id="rId127" display="0000900001-25-000008"/>
    <hyperlink ref="H132" r:id="rId128" display="0000900001-25-000008"/>
    <hyperlink ref="H133" r:id="rId129" display="0000900001-19-000002"/>
    <hyperlink ref="H134" r:id="rId130" display="0000900001-20-000003"/>
    <hyperlink ref="H135" r:id="rId131" display="0000900001-21-000004"/>
    <hyperlink ref="H136" r:id="rId132" display="0000900001-22-000005"/>
    <hyperlink ref="H137" r:id="rId133" display="0000900001-23-000006"/>
    <hyperlink ref="H138" r:id="rId134" display="0000900001-24-000007"/>
    <hyperlink ref="H139" r:id="rId135" display="0000900001-25-000008"/>
    <hyperlink ref="H140" r:id="rId136" display="0000900001-25-000008"/>
    <hyperlink ref="H141" r:id="rId137" display="0000900001-19-000002"/>
    <hyperlink ref="H142" r:id="rId138" display="0000900001-20-000003"/>
    <hyperlink ref="H143" r:id="rId139" display="0000900001-21-000004"/>
    <hyperlink ref="H144" r:id="rId140" display="0000900001-22-000005"/>
    <hyperlink ref="H145" r:id="rId141" display="0000900001-23-000006"/>
    <hyperlink ref="H146" r:id="rId142" display="0000900001-24-000007"/>
    <hyperlink ref="H147" r:id="rId143" display="0000900001-25-000008"/>
    <hyperlink ref="H148" r:id="rId144" display="0000900001-25-000008"/>
    <hyperlink ref="H149" r:id="rId145" display="0000900001-19-000002"/>
    <hyperlink ref="H150" r:id="rId146" display="0000900001-20-000003"/>
    <hyperlink ref="H151" r:id="rId147" display="0000900001-21-000004"/>
    <hyperlink ref="H152" r:id="rId148" display="0000900001-22-000005"/>
    <hyperlink ref="H153" r:id="rId149" display="0000900001-23-000006"/>
    <hyperlink ref="H154" r:id="rId150" display="0000900001-24-000007"/>
    <hyperlink ref="H155" r:id="rId151" display="0000900001-25-000008"/>
    <hyperlink ref="H156" r:id="rId152" display="0000900001-25-000008"/>
    <hyperlink ref="H157" r:id="rId153" display="0000900001-20-000003"/>
    <hyperlink ref="H158" r:id="rId154" display="0000900001-21-000004"/>
    <hyperlink ref="H159" r:id="rId155" display="0000900001-22-000005"/>
    <hyperlink ref="H160" r:id="rId156" display="0000900001-23-000006"/>
    <hyperlink ref="H161" r:id="rId157" display="0000900001-24-000007"/>
    <hyperlink ref="H162" r:id="rId158" display="0000900001-25-000008"/>
    <hyperlink ref="H163" r:id="rId159" display="0000900001-25-000008"/>
    <hyperlink ref="H164" r:id="rId160" display="0000900001-25-000008"/>
    <hyperlink ref="H173" r:id="rId161" display="0000900001-19-000002"/>
    <hyperlink ref="H174" r:id="rId162" display="0000900001-20-000003"/>
    <hyperlink ref="H175" r:id="rId163" display="0000900001-21-000004"/>
    <hyperlink ref="H176" r:id="rId164" display="0000900001-22-000005"/>
    <hyperlink ref="H177" r:id="rId165" display="0000900001-23-000006"/>
    <hyperlink ref="H178" r:id="rId166" display="0000900001-24-000007"/>
    <hyperlink ref="H179" r:id="rId167" display="0000900001-25-000008"/>
    <hyperlink ref="H180" r:id="rId168" display="0000900001-25-000008"/>
    <hyperlink ref="H181" r:id="rId169" display="0000900001-19-000002"/>
    <hyperlink ref="H182" r:id="rId170" display="0000900001-20-000003"/>
    <hyperlink ref="H183" r:id="rId171" display="0000900001-21-000004"/>
    <hyperlink ref="H184" r:id="rId172" display="0000900001-22-000005"/>
    <hyperlink ref="H185" r:id="rId173" display="0000900001-23-000006"/>
    <hyperlink ref="H186" r:id="rId174" display="0000900001-24-000007"/>
    <hyperlink ref="H187" r:id="rId175" display="0000900001-25-000008"/>
    <hyperlink ref="H188" r:id="rId176" display="0000900001-25-000008"/>
    <hyperlink ref="H189" r:id="rId177" display="0000900001-20-000003"/>
    <hyperlink ref="H190" r:id="rId178" display="0000900001-21-000004"/>
    <hyperlink ref="H191" r:id="rId179" display="0000900001-22-000005"/>
    <hyperlink ref="H192" r:id="rId180" display="0000900001-23-000006"/>
    <hyperlink ref="H193" r:id="rId181" display="0000900001-24-000007"/>
    <hyperlink ref="H194" r:id="rId182" display="0000900001-25-000008"/>
    <hyperlink ref="H195" r:id="rId183" display="0000900001-25-000008"/>
    <hyperlink ref="H196" r:id="rId184" display="0000900001-25-000008"/>
    <hyperlink ref="H197" r:id="rId185" display="0000900001-19-000002"/>
    <hyperlink ref="H198" r:id="rId186" display="0000900001-20-000003"/>
    <hyperlink ref="H199" r:id="rId187" display="0000900001-21-000004"/>
    <hyperlink ref="H200" r:id="rId188" display="0000900001-22-000005"/>
    <hyperlink ref="H201" r:id="rId189" display="0000900001-23-000006"/>
    <hyperlink ref="H202" r:id="rId190" display="0000900001-24-000007"/>
    <hyperlink ref="H203" r:id="rId191" display="0000900001-25-000008"/>
    <hyperlink ref="H204" r:id="rId192" display="0000900001-25-000008"/>
    <hyperlink ref="H205" r:id="rId193" display="0000900001-20-000003"/>
    <hyperlink ref="H206" r:id="rId194" display="0000900001-21-000004"/>
    <hyperlink ref="H207" r:id="rId195" display="0000900001-22-000005"/>
    <hyperlink ref="H208" r:id="rId196" display="0000900001-23-000006"/>
    <hyperlink ref="H209" r:id="rId197" display="0000900001-24-000007"/>
    <hyperlink ref="H210" r:id="rId198" display="0000900001-25-000008"/>
    <hyperlink ref="H211" r:id="rId199" display="0000900001-25-000008"/>
    <hyperlink ref="H212" r:id="rId200" display="0000900001-25-000008"/>
    <hyperlink ref="H213" r:id="rId201" display="0000900001-20-000003"/>
    <hyperlink ref="H214" r:id="rId202" display="0000900001-21-000004"/>
    <hyperlink ref="H215" r:id="rId203" display="0000900001-22-000005"/>
    <hyperlink ref="H216" r:id="rId204" display="0000900001-23-000006"/>
    <hyperlink ref="H217" r:id="rId205" display="0000900001-24-000007"/>
    <hyperlink ref="H218" r:id="rId206" display="0000900001-25-000008"/>
    <hyperlink ref="H219" r:id="rId207" display="0000900001-25-000008"/>
    <hyperlink ref="H220" r:id="rId208" display="0000900001-25-000008"/>
    <hyperlink ref="H221" r:id="rId209" display="0000900001-20-000003"/>
    <hyperlink ref="H222" r:id="rId210" display="0000900001-21-000004"/>
    <hyperlink ref="H223" r:id="rId211" display="0000900001-22-000005"/>
    <hyperlink ref="H224" r:id="rId212" display="0000900001-23-000006"/>
    <hyperlink ref="H225" r:id="rId213" display="0000900001-24-000007"/>
    <hyperlink ref="H226" r:id="rId214" display="0000900001-25-000008"/>
    <hyperlink ref="H227" r:id="rId215" display="0000900001-25-000008"/>
    <hyperlink ref="H228" r:id="rId216" display="0000900001-25-000008"/>
    <hyperlink ref="H229" r:id="rId217" display="0000900001-19-000002"/>
    <hyperlink ref="H230" r:id="rId218" display="0000900001-20-000003"/>
    <hyperlink ref="H231" r:id="rId219" display="0000900001-21-000004"/>
    <hyperlink ref="H232" r:id="rId220" display="0000900001-22-000005"/>
    <hyperlink ref="H233" r:id="rId221" display="0000900001-23-000006"/>
    <hyperlink ref="H234" r:id="rId222" display="0000900001-24-000007"/>
    <hyperlink ref="H235" r:id="rId223" display="0000900001-25-000008"/>
    <hyperlink ref="H236" r:id="rId224" display="0000900001-25-000008"/>
    <hyperlink ref="H237" r:id="rId225" display="0000900001-19-000002"/>
    <hyperlink ref="H238" r:id="rId226" display="0000900001-20-000003"/>
    <hyperlink ref="H239" r:id="rId227" display="0000900001-21-000004"/>
    <hyperlink ref="H240" r:id="rId228" display="0000900001-22-000005"/>
    <hyperlink ref="H241" r:id="rId229" display="0000900001-23-000006"/>
    <hyperlink ref="H242" r:id="rId230" display="0000900001-24-000007"/>
    <hyperlink ref="H243" r:id="rId231" display="0000900001-25-000008"/>
    <hyperlink ref="H244" r:id="rId232" display="0000900001-25-000008"/>
    <hyperlink ref="H245" r:id="rId233" display="0000900001-19-000002"/>
    <hyperlink ref="H246" r:id="rId234" display="0000900001-20-000003"/>
    <hyperlink ref="H247" r:id="rId235" display="0000900001-21-000004"/>
    <hyperlink ref="H248" r:id="rId236" display="0000900001-22-000005"/>
    <hyperlink ref="H249" r:id="rId237" display="0000900001-23-000006"/>
    <hyperlink ref="H250" r:id="rId238" display="0000900001-24-000007"/>
    <hyperlink ref="H251" r:id="rId239" display="0000900001-25-000008"/>
    <hyperlink ref="H252" r:id="rId240" display="0000900001-25-00000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2026-10-05T00:39:10Z</dcterms:created>
  <dc:creator>openpyxl</dc:creator>
  <dc:description/>
  <dc:language>en-US</dc:language>
  <cp:lastModifiedBy/>
  <dcterms:modified xsi:type="dcterms:W3CDTF">2026-10-05T01:39:27Z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